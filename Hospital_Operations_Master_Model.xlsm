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yan\Downloads\"/>
    </mc:Choice>
  </mc:AlternateContent>
  <bookViews>
    <workbookView xWindow="-105" yWindow="-105" windowWidth="23250" windowHeight="12450"/>
  </bookViews>
  <sheets>
    <sheet name="🏥 COVER" sheetId="1" r:id="rId1"/>
    <sheet name="Dashboard" sheetId="2" r:id="rId2"/>
    <sheet name="Day_0_Plan" sheetId="3" r:id="rId3"/>
    <sheet name="Live_OR_Board" sheetId="4" r:id="rId4"/>
    <sheet name="HR_Master" sheetId="5" r:id="rId5"/>
    <sheet name="Staff_Demand" sheetId="6" r:id="rId6"/>
    <sheet name="Financial_Summary" sheetId="7" r:id="rId7"/>
  </sheets>
  <definedNames>
    <definedName name="solver_ntri" hidden="1">1000</definedName>
    <definedName name="solver_rcp" hidden="1">0</definedName>
    <definedName name="solver_rsmp" hidden="1">1</definedName>
    <definedName name="solver_seed" hidden="1">0</definedName>
  </definedNames>
  <calcPr calcId="152511"/>
</workbook>
</file>

<file path=xl/calcChain.xml><?xml version="1.0" encoding="utf-8"?>
<calcChain xmlns="http://schemas.openxmlformats.org/spreadsheetml/2006/main">
  <c r="H29" i="7" l="1"/>
  <c r="H28" i="7"/>
  <c r="H27" i="7"/>
  <c r="H26" i="7"/>
  <c r="D14" i="7"/>
  <c r="E13" i="7"/>
  <c r="H12" i="7"/>
  <c r="G12" i="7"/>
  <c r="E12" i="7"/>
  <c r="H11" i="7"/>
  <c r="E11" i="7"/>
  <c r="H10" i="7"/>
  <c r="G10" i="7"/>
  <c r="E10" i="7"/>
  <c r="H9" i="7"/>
  <c r="G9" i="7"/>
  <c r="E9" i="7"/>
  <c r="G4" i="7"/>
  <c r="E4" i="7"/>
  <c r="C4" i="7"/>
  <c r="D11" i="6"/>
  <c r="C11" i="6"/>
  <c r="B11" i="6"/>
  <c r="F63" i="5"/>
  <c r="E63" i="5"/>
  <c r="D63" i="5"/>
  <c r="F62" i="5"/>
  <c r="E62" i="5"/>
  <c r="D62" i="5"/>
  <c r="F61" i="5"/>
  <c r="E61" i="5"/>
  <c r="D61" i="5"/>
  <c r="F60" i="5"/>
  <c r="E60" i="5"/>
  <c r="D60" i="5"/>
  <c r="F59" i="5"/>
  <c r="E59" i="5"/>
  <c r="D59" i="5"/>
  <c r="F58" i="5"/>
  <c r="E58" i="5"/>
  <c r="D58" i="5"/>
  <c r="F57" i="5"/>
  <c r="E57" i="5"/>
  <c r="D57" i="5"/>
  <c r="F56" i="5"/>
  <c r="E56" i="5"/>
  <c r="D56" i="5"/>
  <c r="F55" i="5"/>
  <c r="E55" i="5"/>
  <c r="D55" i="5"/>
  <c r="F54" i="5"/>
  <c r="E54" i="5"/>
  <c r="D54" i="5"/>
  <c r="F53" i="5"/>
  <c r="E53" i="5"/>
  <c r="D53" i="5"/>
  <c r="F52" i="5"/>
  <c r="E52" i="5"/>
  <c r="D52" i="5"/>
  <c r="F51" i="5"/>
  <c r="E51" i="5"/>
  <c r="D51" i="5"/>
  <c r="F50" i="5"/>
  <c r="E50" i="5"/>
  <c r="D50" i="5"/>
  <c r="F49" i="5"/>
  <c r="E49" i="5"/>
  <c r="D49" i="5"/>
  <c r="F48" i="5"/>
  <c r="E48" i="5"/>
  <c r="D48" i="5"/>
  <c r="F47" i="5"/>
  <c r="E47" i="5"/>
  <c r="D47" i="5"/>
  <c r="F46" i="5"/>
  <c r="E46" i="5"/>
  <c r="D46" i="5"/>
  <c r="F45" i="5"/>
  <c r="E45" i="5"/>
  <c r="D45" i="5"/>
  <c r="F44" i="5"/>
  <c r="E44" i="5"/>
  <c r="D44" i="5"/>
  <c r="F43" i="5"/>
  <c r="E43" i="5"/>
  <c r="D43" i="5"/>
  <c r="F42" i="5"/>
  <c r="E42" i="5"/>
  <c r="D42" i="5"/>
  <c r="F41" i="5"/>
  <c r="E41" i="5"/>
  <c r="D41" i="5"/>
  <c r="F40" i="5"/>
  <c r="E40" i="5"/>
  <c r="D40" i="5"/>
  <c r="F39" i="5"/>
  <c r="E39" i="5"/>
  <c r="D39" i="5"/>
  <c r="F38" i="5"/>
  <c r="E38" i="5"/>
  <c r="D38" i="5"/>
  <c r="F37" i="5"/>
  <c r="E37" i="5"/>
  <c r="D37" i="5"/>
  <c r="F36" i="5"/>
  <c r="E36" i="5"/>
  <c r="D36" i="5"/>
  <c r="F35" i="5"/>
  <c r="E35" i="5"/>
  <c r="D35" i="5"/>
  <c r="F34" i="5"/>
  <c r="E34" i="5"/>
  <c r="D34" i="5"/>
  <c r="F33" i="5"/>
  <c r="E33" i="5"/>
  <c r="D33" i="5"/>
  <c r="F32" i="5"/>
  <c r="E32" i="5"/>
  <c r="D32" i="5"/>
  <c r="F31" i="5"/>
  <c r="E31" i="5"/>
  <c r="D31" i="5"/>
  <c r="F30" i="5"/>
  <c r="E30" i="5"/>
  <c r="D30" i="5"/>
  <c r="F29" i="5"/>
  <c r="E29" i="5"/>
  <c r="D29" i="5"/>
  <c r="F28" i="5"/>
  <c r="E28" i="5"/>
  <c r="D28" i="5"/>
  <c r="F27" i="5"/>
  <c r="E27" i="5"/>
  <c r="D27" i="5"/>
  <c r="F26" i="5"/>
  <c r="E26" i="5"/>
  <c r="D26" i="5"/>
  <c r="F25" i="5"/>
  <c r="E25" i="5"/>
  <c r="D25" i="5"/>
  <c r="F24" i="5"/>
  <c r="E24" i="5"/>
  <c r="D24" i="5"/>
  <c r="F23" i="5"/>
  <c r="E23" i="5"/>
  <c r="D23" i="5"/>
  <c r="F22" i="5"/>
  <c r="E22" i="5"/>
  <c r="D22" i="5"/>
  <c r="F21" i="5"/>
  <c r="E21" i="5"/>
  <c r="D21" i="5"/>
  <c r="F20" i="5"/>
  <c r="E20" i="5"/>
  <c r="D20" i="5"/>
  <c r="F19" i="5"/>
  <c r="E19" i="5"/>
  <c r="D19" i="5"/>
  <c r="F18" i="5"/>
  <c r="E18" i="5"/>
  <c r="D18" i="5"/>
  <c r="F17" i="5"/>
  <c r="E17" i="5"/>
  <c r="D17" i="5"/>
  <c r="F16" i="5"/>
  <c r="E16" i="5"/>
  <c r="D16" i="5"/>
  <c r="F15" i="5"/>
  <c r="E15" i="5"/>
  <c r="D15" i="5"/>
  <c r="F14" i="5"/>
  <c r="E14" i="5"/>
  <c r="D14" i="5"/>
  <c r="F13" i="5"/>
  <c r="E13" i="5"/>
  <c r="D13" i="5"/>
  <c r="F12" i="5"/>
  <c r="E12" i="5"/>
  <c r="D12" i="5"/>
  <c r="F11" i="5"/>
  <c r="E11" i="5"/>
  <c r="D11" i="5"/>
  <c r="F10" i="5"/>
  <c r="E10" i="5"/>
  <c r="D10" i="5"/>
  <c r="F9" i="5"/>
  <c r="E9" i="5"/>
  <c r="D9" i="5"/>
  <c r="F8" i="5"/>
  <c r="E8" i="5"/>
  <c r="D8" i="5"/>
  <c r="F7" i="5"/>
  <c r="E7" i="5"/>
  <c r="D7" i="5"/>
  <c r="F6" i="5"/>
  <c r="E6" i="5"/>
  <c r="D6" i="5"/>
  <c r="F5" i="5"/>
  <c r="E5" i="5"/>
  <c r="D5" i="5"/>
  <c r="F4" i="5"/>
  <c r="E4" i="5"/>
  <c r="D4" i="5"/>
  <c r="F3" i="5"/>
  <c r="E3" i="5"/>
  <c r="D3" i="5"/>
  <c r="N114" i="4"/>
  <c r="N113" i="4"/>
  <c r="N112" i="4"/>
  <c r="N115" i="4" s="1"/>
  <c r="N96" i="4"/>
  <c r="N95" i="4"/>
  <c r="N94" i="4"/>
  <c r="N97" i="4" s="1"/>
  <c r="N78" i="4"/>
  <c r="N77" i="4"/>
  <c r="N76" i="4"/>
  <c r="N79" i="4" s="1"/>
  <c r="N60" i="4"/>
  <c r="N59" i="4"/>
  <c r="N58" i="4"/>
  <c r="N61" i="4" s="1"/>
  <c r="N42" i="4"/>
  <c r="N41" i="4"/>
  <c r="N40" i="4"/>
  <c r="N43" i="4" s="1"/>
  <c r="N24" i="4"/>
  <c r="N23" i="4"/>
  <c r="N22" i="4"/>
  <c r="N25" i="4" s="1"/>
  <c r="N6" i="4"/>
  <c r="N5" i="4"/>
  <c r="N4" i="4"/>
  <c r="N7" i="4" s="1"/>
  <c r="F39" i="3"/>
  <c r="B39" i="3"/>
  <c r="G39" i="3" s="1"/>
  <c r="G38" i="3"/>
  <c r="F38" i="3"/>
  <c r="B38" i="3"/>
  <c r="F37" i="3"/>
  <c r="G36" i="3"/>
  <c r="F36" i="3"/>
  <c r="B36" i="3"/>
  <c r="F35" i="3"/>
  <c r="B31" i="3"/>
  <c r="H30" i="7" s="1"/>
  <c r="I24" i="3"/>
  <c r="G24" i="3"/>
  <c r="E24" i="3"/>
  <c r="C24" i="3"/>
  <c r="I23" i="3"/>
  <c r="F23" i="3"/>
  <c r="E23" i="3"/>
  <c r="I22" i="3"/>
  <c r="G22" i="3"/>
  <c r="E22" i="3"/>
  <c r="C22" i="3"/>
  <c r="I21" i="3"/>
  <c r="H21" i="3"/>
  <c r="H22" i="3" s="1"/>
  <c r="G21" i="3"/>
  <c r="G23" i="3" s="1"/>
  <c r="F21" i="3"/>
  <c r="F22" i="3" s="1"/>
  <c r="E21" i="3"/>
  <c r="D21" i="3"/>
  <c r="D22" i="3" s="1"/>
  <c r="C21" i="3"/>
  <c r="C23" i="3" s="1"/>
  <c r="I20" i="3"/>
  <c r="H20" i="3"/>
  <c r="G20" i="3"/>
  <c r="F20" i="3"/>
  <c r="E20" i="3"/>
  <c r="D20" i="3"/>
  <c r="C20" i="3"/>
  <c r="E18" i="7" s="1"/>
  <c r="I14" i="3"/>
  <c r="H14" i="3"/>
  <c r="G14" i="3"/>
  <c r="F14" i="3"/>
  <c r="E14" i="3"/>
  <c r="D14" i="3"/>
  <c r="C14" i="3"/>
  <c r="I13" i="3"/>
  <c r="H13" i="3"/>
  <c r="H15" i="3" s="1"/>
  <c r="G13" i="3"/>
  <c r="F13" i="3"/>
  <c r="F15" i="3" s="1"/>
  <c r="E13" i="3"/>
  <c r="D13" i="3"/>
  <c r="D15" i="3" s="1"/>
  <c r="C13" i="3"/>
  <c r="I12" i="3"/>
  <c r="I15" i="3" s="1"/>
  <c r="H12" i="3"/>
  <c r="G12" i="3"/>
  <c r="G15" i="3" s="1"/>
  <c r="F12" i="3"/>
  <c r="E12" i="3"/>
  <c r="E15" i="3" s="1"/>
  <c r="D12" i="3"/>
  <c r="C12" i="3"/>
  <c r="C15" i="3" s="1"/>
  <c r="I11" i="3"/>
  <c r="H11" i="3"/>
  <c r="G11" i="3"/>
  <c r="F11" i="3"/>
  <c r="E11" i="3"/>
  <c r="D11" i="3"/>
  <c r="C11" i="3"/>
  <c r="I10" i="3"/>
  <c r="H10" i="3"/>
  <c r="G10" i="3"/>
  <c r="F10" i="3"/>
  <c r="E10" i="3"/>
  <c r="D10" i="3"/>
  <c r="C10" i="3"/>
  <c r="I4" i="7" s="1"/>
  <c r="I7" i="3"/>
  <c r="H7" i="3"/>
  <c r="G7" i="3"/>
  <c r="F7" i="3"/>
  <c r="E7" i="3"/>
  <c r="D7" i="3"/>
  <c r="C7" i="3"/>
  <c r="J6" i="3"/>
  <c r="B13" i="7" s="1"/>
  <c r="D13" i="7" s="1"/>
  <c r="B6" i="3"/>
  <c r="J5" i="3"/>
  <c r="B12" i="7" s="1"/>
  <c r="D12" i="7" s="1"/>
  <c r="B5" i="3"/>
  <c r="K5" i="3" s="1"/>
  <c r="J4" i="3"/>
  <c r="B11" i="7" s="1"/>
  <c r="D11" i="7" s="1"/>
  <c r="B4" i="3"/>
  <c r="J3" i="3"/>
  <c r="B10" i="7" s="1"/>
  <c r="D10" i="7" s="1"/>
  <c r="B3" i="3"/>
  <c r="K3" i="3" s="1"/>
  <c r="J2" i="3"/>
  <c r="J28" i="3" s="1"/>
  <c r="B2" i="3"/>
  <c r="J18" i="2"/>
  <c r="I18" i="2"/>
  <c r="H18" i="2"/>
  <c r="G18" i="2"/>
  <c r="F18" i="2"/>
  <c r="E18" i="2"/>
  <c r="D18" i="2"/>
  <c r="C18" i="2"/>
  <c r="R17" i="2"/>
  <c r="Q17" i="2"/>
  <c r="P17" i="2"/>
  <c r="O17" i="2"/>
  <c r="N17" i="2"/>
  <c r="M17" i="2"/>
  <c r="L17" i="2"/>
  <c r="R16" i="2"/>
  <c r="Q16" i="2"/>
  <c r="P16" i="2"/>
  <c r="O16" i="2"/>
  <c r="N16" i="2"/>
  <c r="M16" i="2"/>
  <c r="L16" i="2"/>
  <c r="K15" i="2"/>
  <c r="R14" i="2"/>
  <c r="Q14" i="2"/>
  <c r="P14" i="2"/>
  <c r="O14" i="2"/>
  <c r="N14" i="2"/>
  <c r="M14" i="2"/>
  <c r="L14" i="2"/>
  <c r="R13" i="2"/>
  <c r="Q13" i="2"/>
  <c r="P13" i="2"/>
  <c r="O13" i="2"/>
  <c r="N13" i="2"/>
  <c r="M13" i="2"/>
  <c r="L13" i="2"/>
  <c r="K12" i="2"/>
  <c r="R11" i="2"/>
  <c r="Q11" i="2"/>
  <c r="P11" i="2"/>
  <c r="O11" i="2"/>
  <c r="N11" i="2"/>
  <c r="M11" i="2"/>
  <c r="L11" i="2"/>
  <c r="R10" i="2"/>
  <c r="Q10" i="2"/>
  <c r="P10" i="2"/>
  <c r="O10" i="2"/>
  <c r="N10" i="2"/>
  <c r="M10" i="2"/>
  <c r="L10" i="2"/>
  <c r="K9" i="2"/>
  <c r="R8" i="2"/>
  <c r="Q8" i="2"/>
  <c r="P8" i="2"/>
  <c r="O8" i="2"/>
  <c r="N8" i="2"/>
  <c r="M8" i="2"/>
  <c r="L8" i="2"/>
  <c r="R7" i="2"/>
  <c r="Q7" i="2"/>
  <c r="P7" i="2"/>
  <c r="O7" i="2"/>
  <c r="N7" i="2"/>
  <c r="M7" i="2"/>
  <c r="L7" i="2"/>
  <c r="K6" i="2"/>
  <c r="R5" i="2"/>
  <c r="Q5" i="2"/>
  <c r="P5" i="2"/>
  <c r="O5" i="2"/>
  <c r="N5" i="2"/>
  <c r="M5" i="2"/>
  <c r="L5" i="2"/>
  <c r="R4" i="2"/>
  <c r="Q4" i="2"/>
  <c r="Q18" i="2" s="1"/>
  <c r="P4" i="2"/>
  <c r="P18" i="2" s="1"/>
  <c r="O4" i="2"/>
  <c r="O18" i="2" s="1"/>
  <c r="N4" i="2"/>
  <c r="M4" i="2"/>
  <c r="L4" i="2"/>
  <c r="K3" i="2"/>
  <c r="R18" i="2" l="1"/>
  <c r="K18" i="2"/>
  <c r="L18" i="2"/>
  <c r="M18" i="2"/>
  <c r="N18" i="2"/>
  <c r="G18" i="7"/>
  <c r="F18" i="7"/>
  <c r="I18" i="7"/>
  <c r="E19" i="7"/>
  <c r="K6" i="3"/>
  <c r="J7" i="3"/>
  <c r="D24" i="3"/>
  <c r="J29" i="3"/>
  <c r="D23" i="3"/>
  <c r="K4" i="3"/>
  <c r="F24" i="3"/>
  <c r="J30" i="3" s="1"/>
  <c r="B35" i="3"/>
  <c r="B37" i="3"/>
  <c r="G37" i="3" s="1"/>
  <c r="K2" i="3"/>
  <c r="H24" i="3"/>
  <c r="B9" i="7"/>
  <c r="D9" i="7" s="1"/>
  <c r="H23" i="3"/>
  <c r="E20" i="7" s="1"/>
  <c r="J27" i="3"/>
  <c r="A4" i="7"/>
  <c r="F20" i="7" l="1"/>
  <c r="I20" i="7"/>
  <c r="G20" i="7"/>
  <c r="I19" i="7"/>
  <c r="G19" i="7"/>
  <c r="F19" i="7"/>
  <c r="H19" i="7" s="1"/>
  <c r="E21" i="7"/>
  <c r="H18" i="7"/>
  <c r="B40" i="3"/>
  <c r="G35" i="3"/>
  <c r="G11" i="7"/>
  <c r="I21" i="7" l="1"/>
  <c r="G21" i="7"/>
  <c r="G22" i="7" s="1"/>
  <c r="F21" i="7"/>
  <c r="H21" i="7" s="1"/>
  <c r="H39" i="3"/>
  <c r="H37" i="3"/>
  <c r="H35" i="3"/>
  <c r="H38" i="3"/>
  <c r="H36" i="3"/>
  <c r="G40" i="3"/>
  <c r="H20" i="7"/>
  <c r="H22" i="7" s="1"/>
  <c r="F22" i="7" l="1"/>
</calcChain>
</file>

<file path=xl/sharedStrings.xml><?xml version="1.0" encoding="utf-8"?>
<sst xmlns="http://schemas.openxmlformats.org/spreadsheetml/2006/main" count="1021" uniqueCount="425">
  <si>
    <t>🏥  HOSPITAL OPERATIONS OPTIMIZATION SYSTEM
Prescriptive Analytics Model</t>
  </si>
  <si>
    <t>Weekly Surgery Planning · OR Scheduling · Staff Assignment · Financial Optimization</t>
  </si>
  <si>
    <t>📊 Demand
Simulation</t>
  </si>
  <si>
    <t>⚙️ Solver
Optimization</t>
  </si>
  <si>
    <t>🏨 OR Board
Scheduling</t>
  </si>
  <si>
    <t>👩‍⚕️ Staff
Planning</t>
  </si>
  <si>
    <t>💰 Financial
Dashboard</t>
  </si>
  <si>
    <t>Stochastic W1/W2 demand with emergencies &amp; clinic intake</t>
  </si>
  <si>
    <t>Maximize weekly profit subject to OR, ICU &amp; bed constraints</t>
  </si>
  <si>
    <t>5-OR, 3-shift board for all 7 days with staff assignments</t>
  </si>
  <si>
    <t>Specialist, resident &amp; nurse demand matched to HR Master</t>
  </si>
  <si>
    <t>Revenue, cost &amp; profit analysis with bed tier breakdown</t>
  </si>
  <si>
    <t>📋  NAVIGATION GUIDE</t>
  </si>
  <si>
    <t>→  Dashboard</t>
  </si>
  <si>
    <t>Run simulations · Randomize demand pools · Track W1 &amp; W2 demand weekly</t>
  </si>
  <si>
    <t>→  Day_0_Plan</t>
  </si>
  <si>
    <t>SOLVER SHEET – Run Master_Surgery_Scheduler macro to optimize the schedule</t>
  </si>
  <si>
    <t>→  Live_OR_Board</t>
  </si>
  <si>
    <t>Full 7-day OR schedule – Run Load_Morning_Baseline macro to populate</t>
  </si>
  <si>
    <t>→  HR_Master</t>
  </si>
  <si>
    <t>Complete hospital staff roster with pay rates &amp; weekly limits</t>
  </si>
  <si>
    <t>→  Staff_Demand</t>
  </si>
  <si>
    <t>Required specialists, residents &amp; nurses per day from OR Board</t>
  </si>
  <si>
    <t>→  Financial_Summary</t>
  </si>
  <si>
    <t>Weekly P&amp;L · Revenue breakdown · Bed utilization · KPI dashboard</t>
  </si>
  <si>
    <t>▶  HOW TO RUN THE MODEL</t>
  </si>
  <si>
    <t>STEP 1 │ Go to Dashboard → Click 'Randomize W1 Pool' button to generate weekly demand</t>
  </si>
  <si>
    <t>STEP 2 │ Go to Day_0_Plan → Run macro 'Master_Surgery_Scheduler' to optimize and solve</t>
  </si>
  <si>
    <t>STEP 3 │ Run macro 'Load_Morning_Baseline' to populate the Live OR Board for all days</t>
  </si>
  <si>
    <t>STEP 4 │ Review Staff_Demand sheet → Assign staff from HR_Master accordingly</t>
  </si>
  <si>
    <t>STEP 5 │ Click 'Simulate &amp; Advance' on Dashboard daily to simulate emergencies &amp; intake</t>
  </si>
  <si>
    <t>STEP 6 │ Check Financial_Summary for weekly P&amp;L and performance KPIs</t>
  </si>
  <si>
    <t>Prescriptive Analytics Model  │  Hospital Operations Optimization  │  Built with Excel Solver + VBA</t>
  </si>
  <si>
    <t>🏥  HOSPITAL OPERATIONS OPTIMIZATION — WEEKLY DEMAND TRACKER</t>
  </si>
  <si>
    <t>CURRENT STATUS:</t>
  </si>
  <si>
    <t>▶ W1 Baseline Ready</t>
  </si>
  <si>
    <t>Surgery Type</t>
  </si>
  <si>
    <t>Category</t>
  </si>
  <si>
    <t>W1 Pool
(Day 0)</t>
  </si>
  <si>
    <t>Mon (W1)</t>
  </si>
  <si>
    <t>Tue (W1)</t>
  </si>
  <si>
    <t>Wed (W1)</t>
  </si>
  <si>
    <t>Thu (W1)</t>
  </si>
  <si>
    <t>Fri (W1)</t>
  </si>
  <si>
    <t>Sat (W1)</t>
  </si>
  <si>
    <t>Sun (W1)</t>
  </si>
  <si>
    <t>W2 Pool
(Est.)</t>
  </si>
  <si>
    <t>Mon (W2)</t>
  </si>
  <si>
    <t>Tue (W2)</t>
  </si>
  <si>
    <t>Wed (W2)</t>
  </si>
  <si>
    <t>Thu (W2)</t>
  </si>
  <si>
    <t>Fri (W2)</t>
  </si>
  <si>
    <t>Sat (W2)</t>
  </si>
  <si>
    <t>Sun (W2)</t>
  </si>
  <si>
    <t>CABG</t>
  </si>
  <si>
    <t>Scheduled Waitlist</t>
  </si>
  <si>
    <t>Sim Emergency 🚨</t>
  </si>
  <si>
    <t>Clinic Intake ➕</t>
  </si>
  <si>
    <t>Neuro Cranio</t>
  </si>
  <si>
    <t>C-Section</t>
  </si>
  <si>
    <t>Total Knee</t>
  </si>
  <si>
    <t>ENT Septo</t>
  </si>
  <si>
    <t>✦  WEEKLY TOTALS</t>
  </si>
  <si>
    <t>🛏  BED CAPACITY PARAMETERS</t>
  </si>
  <si>
    <t>Bed Tier</t>
  </si>
  <si>
    <t>Capacity</t>
  </si>
  <si>
    <t>Daily Revenue (₹)</t>
  </si>
  <si>
    <t>Daily Op Cost (₹)</t>
  </si>
  <si>
    <t>Net Margin (₹)</t>
  </si>
  <si>
    <t>Ward Alloc %</t>
  </si>
  <si>
    <t>ICU</t>
  </si>
  <si>
    <t>ICU Only</t>
  </si>
  <si>
    <t>Luxury / Private</t>
  </si>
  <si>
    <t>20% of Ward</t>
  </si>
  <si>
    <t>Semi-Private Ward</t>
  </si>
  <si>
    <t>50% of Ward</t>
  </si>
  <si>
    <t>General Ward</t>
  </si>
  <si>
    <t>30% of Ward</t>
  </si>
  <si>
    <t>👤  STAFF COST PARAMETERS</t>
  </si>
  <si>
    <t>⚕  SURGERY PARAMETERS</t>
  </si>
  <si>
    <t>Role</t>
  </si>
  <si>
    <t>Reg Rate (₹/hr)</t>
  </si>
  <si>
    <t>OT Rate (₹/hr)</t>
  </si>
  <si>
    <t>Max Reg (Hrs)</t>
  </si>
  <si>
    <t>Max Tot (Hrs)</t>
  </si>
  <si>
    <t>Surgery</t>
  </si>
  <si>
    <t>Dept</t>
  </si>
  <si>
    <t>Revenue (₹)</t>
  </si>
  <si>
    <t>Kit Cost (₹)</t>
  </si>
  <si>
    <t>Spec</t>
  </si>
  <si>
    <t>Res</t>
  </si>
  <si>
    <t>Nur</t>
  </si>
  <si>
    <t>OR Hrs</t>
  </si>
  <si>
    <t>ICU Req</t>
  </si>
  <si>
    <t>ICU LOS</t>
  </si>
  <si>
    <t>Ward LOS</t>
  </si>
  <si>
    <t>Specialist Doctor</t>
  </si>
  <si>
    <t>Cardiac</t>
  </si>
  <si>
    <t>2-5d</t>
  </si>
  <si>
    <t>3-7d</t>
  </si>
  <si>
    <t>Resident</t>
  </si>
  <si>
    <t>Neuro</t>
  </si>
  <si>
    <t>2-6d</t>
  </si>
  <si>
    <t>4-8d</t>
  </si>
  <si>
    <t>Nurse</t>
  </si>
  <si>
    <t>OBGYN</t>
  </si>
  <si>
    <t>1-2d</t>
  </si>
  <si>
    <t>Locum Doc</t>
  </si>
  <si>
    <t>Ortho</t>
  </si>
  <si>
    <t>3-6d</t>
  </si>
  <si>
    <t>Agency Nurse</t>
  </si>
  <si>
    <t>ENT</t>
  </si>
  <si>
    <t>0d</t>
  </si>
  <si>
    <t>⚡ VBA Macros: [1] Randomize_W1_Pool  [2] Simulate_And_Advance  [3] Master_Surgery_Scheduler  [4] Load_Morning_Baseline  ─  Enable macros before running</t>
  </si>
  <si>
    <t>W1 Pool</t>
  </si>
  <si>
    <t>Mon</t>
  </si>
  <si>
    <t>Tue</t>
  </si>
  <si>
    <t>Wed</t>
  </si>
  <si>
    <t>Thu</t>
  </si>
  <si>
    <t>Fri</t>
  </si>
  <si>
    <t>Sat</t>
  </si>
  <si>
    <t>Sun</t>
  </si>
  <si>
    <t>Total
Scheduled</t>
  </si>
  <si>
    <t>Cleared?</t>
  </si>
  <si>
    <t>ICU
Req'd</t>
  </si>
  <si>
    <t>⚙  RESOURCE CONSTRAINTS  (Solver Constraints)</t>
  </si>
  <si>
    <t>🕐  Est. OR Hours Used</t>
  </si>
  <si>
    <t>🏥  New ICU Admits/Day</t>
  </si>
  <si>
    <t>💰  Daily Surgery Revenue (₹)</t>
  </si>
  <si>
    <t>📦  Daily Kit Costs (₹)</t>
  </si>
  <si>
    <t>👨‍⚕️  Daily Staff Cost (₹)</t>
  </si>
  <si>
    <t>📊  Daily Net Surgery Margin (₹)</t>
  </si>
  <si>
    <t>🏥  ICU Bed Census (Daily)</t>
  </si>
  <si>
    <t>🛏  Ward Total Census (3-day LOS)</t>
  </si>
  <si>
    <t>✦  Luxury / Private (20%)</t>
  </si>
  <si>
    <t>✦  Semi-Private Ward (50%)</t>
  </si>
  <si>
    <t>✦  General Ward (30%)</t>
  </si>
  <si>
    <t>💰  FINANCIAL SUMMARY  (Solver Objective: Maximize B31 – Gross Weekly Profit)</t>
  </si>
  <si>
    <t>📈  Total Surgery Revenue (₹)</t>
  </si>
  <si>
    <t>📦  Total Kit / Consumable Costs (₹)</t>
  </si>
  <si>
    <t>🛏  Total Bed Revenue (₹)</t>
  </si>
  <si>
    <t>💊  Total Bed Operating Costs (₹)</t>
  </si>
  <si>
    <t>🏆  GROSS WEEKLY PROFIT / LOSS (₹)  ← SOLVER OBJECTIVE CELL (B31)</t>
  </si>
  <si>
    <t>📊  PER-SURGERY PROFITABILITY ANALYSIS</t>
  </si>
  <si>
    <t>Total Sched.</t>
  </si>
  <si>
    <t>Revenue/Unit (₹)</t>
  </si>
  <si>
    <t>Kit Cost/Unit (₹)</t>
  </si>
  <si>
    <t>Staff Cost/Unit (₹)</t>
  </si>
  <si>
    <t>Net/Unit (₹)</t>
  </si>
  <si>
    <t>Total Net (₹)</t>
  </si>
  <si>
    <t>% of Profit</t>
  </si>
  <si>
    <t>TOTAL</t>
  </si>
  <si>
    <t>🔒  MAX DAILY SLOTS CONSTRAINT GRID (C141:I145)  ─  Do NOT delete</t>
  </si>
  <si>
    <t>Limit</t>
  </si>
  <si>
    <t>🏥  LIVE OPERATING ROOM BOARD  —  7-DAY WEEKLY SCHEDULE</t>
  </si>
  <si>
    <t>OR
Room</t>
  </si>
  <si>
    <t>Shift</t>
  </si>
  <si>
    <t>Scheduled Surgeries</t>
  </si>
  <si>
    <t>OR Time
(hrs)</t>
  </si>
  <si>
    <t>Specialist</t>
  </si>
  <si>
    <t>Residents</t>
  </si>
  <si>
    <t>Nurses</t>
  </si>
  <si>
    <t>Bumped / Waitlist Surgery</t>
  </si>
  <si>
    <t>Original Day</t>
  </si>
  <si>
    <t>Priority</t>
  </si>
  <si>
    <t>Staff Cost Category</t>
  </si>
  <si>
    <t>Regular Cost (₹)</t>
  </si>
  <si>
    <t>OT Cost (₹)</t>
  </si>
  <si>
    <t>Locum/Agency (₹)</t>
  </si>
  <si>
    <t>★  DAY 1  (Mon)  — CURRENT DAY ★</t>
  </si>
  <si>
    <t>— BUMPED WAITLIST  [Mon] —</t>
  </si>
  <si>
    <t>DAILY STAFF COST TRACKER  [Mon]</t>
  </si>
  <si>
    <t>OR 1</t>
  </si>
  <si>
    <t>Shift 1 (Morning)</t>
  </si>
  <si>
    <t>CABG #1</t>
  </si>
  <si>
    <t>1 (Cardiac)</t>
  </si>
  <si>
    <t>2 (Float)</t>
  </si>
  <si>
    <t>3 (Cardiac)</t>
  </si>
  <si>
    <t>Specialist Doctors</t>
  </si>
  <si>
    <t>OR 2</t>
  </si>
  <si>
    <t>CABG #2</t>
  </si>
  <si>
    <t>OR 3</t>
  </si>
  <si>
    <t>Neuro Cranio #1</t>
  </si>
  <si>
    <t>1 (Neuro)</t>
  </si>
  <si>
    <t>3 (Neuro)</t>
  </si>
  <si>
    <t>OR 4</t>
  </si>
  <si>
    <t>C-Section #1, C-Section #2, C-Section #3, C-Section #4</t>
  </si>
  <si>
    <t>1 (OBGYN)</t>
  </si>
  <si>
    <t>1 (Float)</t>
  </si>
  <si>
    <t>2 (OBGYN)</t>
  </si>
  <si>
    <t>TOTAL DAILY LABOR COST (₹)</t>
  </si>
  <si>
    <t>OR 5</t>
  </si>
  <si>
    <t>Total Knee #1, Total Knee #2, Total Knee #3</t>
  </si>
  <si>
    <t>1 (Ortho)</t>
  </si>
  <si>
    <t>2 (Ortho)</t>
  </si>
  <si>
    <t>Shift 2 (Evening)</t>
  </si>
  <si>
    <t>—</t>
  </si>
  <si>
    <t>Shift 3 (Night)</t>
  </si>
  <si>
    <t xml:space="preserve">  📊  Mon Summary │ Surgeries: 10 │ OR Hours Used: 28.75 / 120 (5ORs×3shifts=15 shifts×8hr)  │  ICU Admits: 3</t>
  </si>
  <si>
    <t>─  DAY 2  (Tue)  — NEXT</t>
  </si>
  <si>
    <t>— BUMPED WAITLIST  [Tue] —</t>
  </si>
  <si>
    <t>DAILY STAFF COST TRACKER  [Tue]</t>
  </si>
  <si>
    <t>Neuro Cranio #2</t>
  </si>
  <si>
    <t>Neuro Cranio #3</t>
  </si>
  <si>
    <t>C-Section #1, C-Section #2</t>
  </si>
  <si>
    <t>Total Knee #1</t>
  </si>
  <si>
    <t>ENT Septo #1, ENT Septo #2, ENT Septo #3, ENT Septo #4</t>
  </si>
  <si>
    <t>1 (ENT)</t>
  </si>
  <si>
    <t>0</t>
  </si>
  <si>
    <t xml:space="preserve">  📊  Tue Summary │ Surgeries: 11 │ OR Hours Used: 27.38 / 120 (5ORs×3shifts=15 shifts×8hr)  │  ICU Admits: 4</t>
  </si>
  <si>
    <t xml:space="preserve">─  DAY 3  (Wed)  — </t>
  </si>
  <si>
    <t>— BUMPED WAITLIST  [Wed] —</t>
  </si>
  <si>
    <t>DAILY STAFF COST TRACKER  [Wed]</t>
  </si>
  <si>
    <t>CABG #3</t>
  </si>
  <si>
    <t>Total Knee #1, Total Knee #2</t>
  </si>
  <si>
    <t xml:space="preserve">  📊  Wed Summary │ Surgeries: 9 │ OR Hours Used: 28.95 / 120 (5ORs×3shifts=15 shifts×8hr)  │  ICU Admits: 3</t>
  </si>
  <si>
    <t xml:space="preserve">─  DAY 4  (Thu)  — </t>
  </si>
  <si>
    <t>— BUMPED WAITLIST  [Thu] —</t>
  </si>
  <si>
    <t>DAILY STAFF COST TRACKER  [Thu]</t>
  </si>
  <si>
    <t>Total Knee #1, Total Knee #2, Total Knee #3, Total Knee #4</t>
  </si>
  <si>
    <t xml:space="preserve">  📊  Thu Summary │ Surgeries: 9 │ OR Hours Used: 25.09 / 120 (5ORs×3shifts=15 shifts×8hr)  │  ICU Admits: 3</t>
  </si>
  <si>
    <t xml:space="preserve">─  DAY 5  (Fri)  — </t>
  </si>
  <si>
    <t>— BUMPED WAITLIST  [Fri] —</t>
  </si>
  <si>
    <t>DAILY STAFF COST TRACKER  [Fri]</t>
  </si>
  <si>
    <t>ENT Septo #1, ENT Septo #2, ENT Septo #3, ENT Septo #4, ENT Septo #5</t>
  </si>
  <si>
    <t xml:space="preserve">  📊  Fri Summary │ Surgeries: 11 │ OR Hours Used: 22.35 / 120 (5ORs×3shifts=15 shifts×8hr)  │  ICU Admits: 2</t>
  </si>
  <si>
    <t xml:space="preserve">─  DAY 6  (Sat)  — </t>
  </si>
  <si>
    <t>— BUMPED WAITLIST  [Sat] —</t>
  </si>
  <si>
    <t>DAILY STAFF COST TRACKER  [Sat]</t>
  </si>
  <si>
    <t xml:space="preserve">  📊  Sat Summary │ Surgeries: 2 │ OR Hours Used: 7.87 / 120 (5ORs×3shifts=15 shifts×8hr)  │  ICU Admits: 1</t>
  </si>
  <si>
    <t xml:space="preserve">─  DAY 7  (Sun)  — </t>
  </si>
  <si>
    <t>— BUMPED WAITLIST  [Sun] —</t>
  </si>
  <si>
    <t>DAILY STAFF COST TRACKER  [Sun]</t>
  </si>
  <si>
    <t xml:space="preserve">  📊  Sun Summary │ Surgeries: 1 │ OR Hours Used: 6.29 / 120 (5ORs×3shifts=15 shifts×8hr)  │  ICU Admits: 1</t>
  </si>
  <si>
    <t>👩‍⚕️  HR MASTER — STAFF ROSTER</t>
  </si>
  <si>
    <t>Staff ID</t>
  </si>
  <si>
    <t>Name</t>
  </si>
  <si>
    <t>Base Rate (₹/hr)</t>
  </si>
  <si>
    <t>Max Weekly (hrs)</t>
  </si>
  <si>
    <t>Days Assigned</t>
  </si>
  <si>
    <t>On-Call?</t>
  </si>
  <si>
    <t>SPEC-C01</t>
  </si>
  <si>
    <t>Dr. Sharma</t>
  </si>
  <si>
    <t>SPEC-C02</t>
  </si>
  <si>
    <t>Dr. Goel</t>
  </si>
  <si>
    <t>SPEC-C03</t>
  </si>
  <si>
    <t>Dr. Joshi</t>
  </si>
  <si>
    <t>SPEC-C04</t>
  </si>
  <si>
    <t>Dr. Mehta</t>
  </si>
  <si>
    <t>SPEC-C05</t>
  </si>
  <si>
    <t>Dr. Varma</t>
  </si>
  <si>
    <t>SPEC-N01</t>
  </si>
  <si>
    <t>Dr. Reddy</t>
  </si>
  <si>
    <t>SPEC-N02</t>
  </si>
  <si>
    <t>Dr. Patil</t>
  </si>
  <si>
    <t>SPEC-N03</t>
  </si>
  <si>
    <t>Dr. Iyer</t>
  </si>
  <si>
    <t>SPEC-N04</t>
  </si>
  <si>
    <t>Dr. Nair</t>
  </si>
  <si>
    <t>SPEC-N05</t>
  </si>
  <si>
    <t>Dr. Gill</t>
  </si>
  <si>
    <t>SPEC-O01</t>
  </si>
  <si>
    <t>Dr. Kapoor</t>
  </si>
  <si>
    <t>SPEC-O02</t>
  </si>
  <si>
    <t>Dr. Saxena</t>
  </si>
  <si>
    <t>SPEC-O03</t>
  </si>
  <si>
    <t>Dr. Dua</t>
  </si>
  <si>
    <t>SPEC-O04</t>
  </si>
  <si>
    <t>Dr. Sethi</t>
  </si>
  <si>
    <t>SPEC-O05</t>
  </si>
  <si>
    <t>Dr. Bajaj</t>
  </si>
  <si>
    <t>SPEC-K01</t>
  </si>
  <si>
    <t>Dr. Singh</t>
  </si>
  <si>
    <t>SPEC-K02</t>
  </si>
  <si>
    <t>Dr. Malhotra</t>
  </si>
  <si>
    <t>SPEC-K03</t>
  </si>
  <si>
    <t>Dr. Bansal</t>
  </si>
  <si>
    <t>SPEC-K04</t>
  </si>
  <si>
    <t>Dr. Khanna</t>
  </si>
  <si>
    <t>SPEC-K05</t>
  </si>
  <si>
    <t>Dr. Oberoi</t>
  </si>
  <si>
    <t>SPEC-E01</t>
  </si>
  <si>
    <t>Dr. Rao</t>
  </si>
  <si>
    <t>SPEC-E02</t>
  </si>
  <si>
    <t>Dr. Bose</t>
  </si>
  <si>
    <t>SPEC-E03</t>
  </si>
  <si>
    <t>Dr. Tiwari</t>
  </si>
  <si>
    <t>RES-F01</t>
  </si>
  <si>
    <t>Dr. Amit</t>
  </si>
  <si>
    <t>Floating</t>
  </si>
  <si>
    <t>RES-F02</t>
  </si>
  <si>
    <t>Dr. Sneha</t>
  </si>
  <si>
    <t>RES-F03</t>
  </si>
  <si>
    <t>Dr. Vikram</t>
  </si>
  <si>
    <t>RES-F04</t>
  </si>
  <si>
    <t>Dr. Pooja</t>
  </si>
  <si>
    <t>RES-F05</t>
  </si>
  <si>
    <t>Dr. Rohan</t>
  </si>
  <si>
    <t>RES-F06</t>
  </si>
  <si>
    <t>Dr. Anjali</t>
  </si>
  <si>
    <t>RES-F07</t>
  </si>
  <si>
    <t>Dr. Kabir</t>
  </si>
  <si>
    <t>RES-F08</t>
  </si>
  <si>
    <t>Dr. Meera</t>
  </si>
  <si>
    <t>RES-F09</t>
  </si>
  <si>
    <t>Dr. Arjun</t>
  </si>
  <si>
    <t>RES-F10</t>
  </si>
  <si>
    <t>Dr. Divya</t>
  </si>
  <si>
    <t>RES-F11</t>
  </si>
  <si>
    <t>Dr. Karan</t>
  </si>
  <si>
    <t>RES-F12</t>
  </si>
  <si>
    <t>Dr. Riya</t>
  </si>
  <si>
    <t>RES-F13</t>
  </si>
  <si>
    <t>Dr. Yash</t>
  </si>
  <si>
    <t>RES-F14</t>
  </si>
  <si>
    <t>Dr. Tara</t>
  </si>
  <si>
    <t>RES-F15</t>
  </si>
  <si>
    <t>Dr. Sid</t>
  </si>
  <si>
    <t>NUR-C01</t>
  </si>
  <si>
    <t>Nurse Mary</t>
  </si>
  <si>
    <t>NUR-C02</t>
  </si>
  <si>
    <t>Nurse John</t>
  </si>
  <si>
    <t>NUR-C03</t>
  </si>
  <si>
    <t>Nurse Lata</t>
  </si>
  <si>
    <t>NUR-C04</t>
  </si>
  <si>
    <t>Nurse Geeta</t>
  </si>
  <si>
    <t>NUR-C05</t>
  </si>
  <si>
    <t>Nurse Ravi</t>
  </si>
  <si>
    <t>NUR-N01</t>
  </si>
  <si>
    <t>Nurse Priya</t>
  </si>
  <si>
    <t>NUR-N02</t>
  </si>
  <si>
    <t>Nurse Anil</t>
  </si>
  <si>
    <t>NUR-N03</t>
  </si>
  <si>
    <t>Nurse Sona</t>
  </si>
  <si>
    <t>NUR-N04</t>
  </si>
  <si>
    <t>Nurse Kiran</t>
  </si>
  <si>
    <t>NUR-N05</t>
  </si>
  <si>
    <t>Nurse Mala</t>
  </si>
  <si>
    <t>NUR-O01</t>
  </si>
  <si>
    <t>Nurse Asha</t>
  </si>
  <si>
    <t>NUR-O02</t>
  </si>
  <si>
    <t>Nurse Deepa</t>
  </si>
  <si>
    <t>NUR-O03</t>
  </si>
  <si>
    <t>Nurse Nita</t>
  </si>
  <si>
    <t>NUR-O04</t>
  </si>
  <si>
    <t>Nurse Kavya</t>
  </si>
  <si>
    <t>NUR-K01</t>
  </si>
  <si>
    <t>Nurse Raj</t>
  </si>
  <si>
    <t>NUR-K02</t>
  </si>
  <si>
    <t>Nurse Sita</t>
  </si>
  <si>
    <t>NUR-K03</t>
  </si>
  <si>
    <t>Nurse Mano</t>
  </si>
  <si>
    <t>NUR-E01</t>
  </si>
  <si>
    <t>Nurse Tina</t>
  </si>
  <si>
    <t>NUR-E02</t>
  </si>
  <si>
    <t>Nurse Pari</t>
  </si>
  <si>
    <t>LOC-001</t>
  </si>
  <si>
    <t>Dr. Kumar (L)</t>
  </si>
  <si>
    <t>LOC-002</t>
  </si>
  <si>
    <t>Dr. Pande (L)</t>
  </si>
  <si>
    <t>AGN-001</t>
  </si>
  <si>
    <t>Nurse Silva (A)</t>
  </si>
  <si>
    <t>AGN-002</t>
  </si>
  <si>
    <t>Nurse Chen (A)</t>
  </si>
  <si>
    <t>💡 Rates auto-link to Dashboard. Days Assigned &amp; On-Call columns to be filled post-scheduling.</t>
  </si>
  <si>
    <t>👨‍⚕️  STAFF DEMAND — DAILY REQUIREMENTS FROM OR BOARD</t>
  </si>
  <si>
    <t>Staff demand calculated from OR Board schedule × per-surgery staffing requirements</t>
  </si>
  <si>
    <t>Day</t>
  </si>
  <si>
    <t>Specialists
Req'd</t>
  </si>
  <si>
    <t>Residents
Req'd</t>
  </si>
  <si>
    <t>Nurses
Req'd</t>
  </si>
  <si>
    <t>Locum
Needed?</t>
  </si>
  <si>
    <t>Agency
Needed?</t>
  </si>
  <si>
    <t>Total
Headcount</t>
  </si>
  <si>
    <t>Max Shift
Hours (Spec)</t>
  </si>
  <si>
    <t>No ✔</t>
  </si>
  <si>
    <t>Yes ⚠</t>
  </si>
  <si>
    <t>WEEKLY TOTAL</t>
  </si>
  <si>
    <t>📋  STAFFING RULES &amp; CONSTRAINTS</t>
  </si>
  <si>
    <t>• Each CABG requires: 1 Cardiac Specialist + 2 Floating Residents + 3 Cardiac Nurses</t>
  </si>
  <si>
    <t>• Each Neuro Cranio requires: 1 Neuro Specialist + 2 Floating Residents + 3 Neuro Nurses</t>
  </si>
  <si>
    <t>• Each C-Section requires: 1 OBGYN Specialist + 1 Floating Resident + 2 OBGYN Nurses</t>
  </si>
  <si>
    <t>• Each Total Knee requires: 1 Ortho Specialist + 1 Floating Resident + 2 Ortho Nurses</t>
  </si>
  <si>
    <t>• Each ENT Septo requires: 1 ENT Specialist + 0 Residents + 1 ENT Nurse</t>
  </si>
  <si>
    <t>• ENT department: NO night surgeries (day/afternoon shifts only)</t>
  </si>
  <si>
    <t>• Overflow: If staff unavailable → call Locum Doctor (₹5,000/hr) or Agency Nurse (₹800/hr)</t>
  </si>
  <si>
    <t>• On-call constraint: Each specialist max 80 hrs/week; Residents &amp; Nurses max 80 hrs/week</t>
  </si>
  <si>
    <t>💰  FINANCIAL PERFORMANCE DASHBOARD — WEEKLY SUMMARY</t>
  </si>
  <si>
    <t>🏆  GROSS WEEKLY PROFIT</t>
  </si>
  <si>
    <t>📈  SURGERY REVENUE</t>
  </si>
  <si>
    <t>🛏  BED REVENUE</t>
  </si>
  <si>
    <t>💸  TOTAL COSTS</t>
  </si>
  <si>
    <t>⏱  OR UTILIZATION</t>
  </si>
  <si>
    <t>📊  REVENUE BREAKDOWN BY SURGERY TYPE</t>
  </si>
  <si>
    <t>💊  COST BREAKDOWN</t>
  </si>
  <si>
    <t># Scheduled</t>
  </si>
  <si>
    <t>Revenue/Case (₹)</t>
  </si>
  <si>
    <t>Total Revenue (₹)</t>
  </si>
  <si>
    <t>% of Total</t>
  </si>
  <si>
    <t>Cost Category</t>
  </si>
  <si>
    <t>Amount (₹)</t>
  </si>
  <si>
    <t>% of Revenue</t>
  </si>
  <si>
    <t>Kit / Consumables</t>
  </si>
  <si>
    <t>Bed Operating Costs</t>
  </si>
  <si>
    <t>Staff Labor (Est.)</t>
  </si>
  <si>
    <t>Total Costs</t>
  </si>
  <si>
    <t>TOTAL SURGERY REVENUE</t>
  </si>
  <si>
    <t>100%</t>
  </si>
  <si>
    <t>🛏  BED REVENUE &amp; UTILIZATION ANALYSIS</t>
  </si>
  <si>
    <t>Daily Rate (₹)</t>
  </si>
  <si>
    <t>Daily Cost (₹)</t>
  </si>
  <si>
    <t>Margin/Day (₹)</t>
  </si>
  <si>
    <t>Bed-Days Used</t>
  </si>
  <si>
    <t>Total Cost (₹)</t>
  </si>
  <si>
    <t>Occupancy %</t>
  </si>
  <si>
    <t>Luxury/Private</t>
  </si>
  <si>
    <t>Semi-Private</t>
  </si>
  <si>
    <t>TOTAL BED REVENUE / COST</t>
  </si>
  <si>
    <t>🏆  WEEKLY PROFIT &amp; LOSS STATEMENT</t>
  </si>
  <si>
    <t>(+) Total Surgery Revenue</t>
  </si>
  <si>
    <t>(+) Total Bed Revenue</t>
  </si>
  <si>
    <t>(−) Kit &amp; Consumable Costs</t>
  </si>
  <si>
    <t>(−) Bed Operating Costs</t>
  </si>
  <si>
    <t>━━ GROSS WEEKLY PROFIT / LOSS</t>
  </si>
  <si>
    <t>ℹ  All values computed from Day_0_Plan solver output. Run Master_Surgery_Scheduler macro to update.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</si>
</sst>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\₹#,##0"/>
  </numFmts>
  <fonts count="63" x14ac:knownFonts="1">
    <font>
      <sz val="11"/>
      <color theme="1"/>
      <name val="Calibri"/>
      <family val="2"/>
      <scheme val="minor"/>
    </font>
    <font>
      <b/>
      <sz val="24"/>
      <color rgb="FFFFFFFF"/>
      <name val="Calibri"/>
      <family val="2"/>
    </font>
    <font>
      <i/>
      <sz val="13"/>
      <color rgb="FF0E6B8A"/>
      <name val="Calibri"/>
      <family val="2"/>
    </font>
    <font>
      <b/>
      <sz val="11"/>
      <color rgb="FFFFFFFF"/>
      <name val="Calibri"/>
      <family val="2"/>
    </font>
    <font>
      <sz val="9"/>
      <color rgb="FF333333"/>
      <name val="Calibri"/>
      <family val="2"/>
    </font>
    <font>
      <b/>
      <sz val="10"/>
      <color rgb="FF1B3A6B"/>
      <name val="Calibri"/>
      <family val="2"/>
    </font>
    <font>
      <sz val="10"/>
      <color rgb="FF2C3E50"/>
      <name val="Calibri"/>
      <family val="2"/>
    </font>
    <font>
      <b/>
      <sz val="10"/>
      <color rgb="FF1A5E30"/>
      <name val="Calibri"/>
      <family val="2"/>
    </font>
    <font>
      <i/>
      <sz val="10"/>
      <color rgb="FFD4AC0D"/>
      <name val="Calibri"/>
      <family val="2"/>
    </font>
    <font>
      <b/>
      <sz val="15"/>
      <color rgb="FFFFFFFF"/>
      <name val="Calibri"/>
      <family val="2"/>
    </font>
    <font>
      <b/>
      <sz val="11"/>
      <color rgb="FFD4AC0D"/>
      <name val="Calibri"/>
      <family val="2"/>
    </font>
    <font>
      <b/>
      <sz val="11"/>
      <color rgb="FF1B3A6B"/>
      <name val="Calibri"/>
      <family val="2"/>
    </font>
    <font>
      <b/>
      <sz val="10"/>
      <color rgb="FFFFFFFF"/>
      <name val="Calibri"/>
      <family val="2"/>
    </font>
    <font>
      <b/>
      <sz val="9"/>
      <color rgb="FF1B3A6B"/>
      <name val="Calibri"/>
      <family val="2"/>
    </font>
    <font>
      <b/>
      <sz val="10"/>
      <color rgb="FF0E6B8A"/>
      <name val="Calibri"/>
      <family val="2"/>
    </font>
    <font>
      <sz val="9"/>
      <color rgb="FF2C3E50"/>
      <name val="Calibri"/>
      <family val="2"/>
    </font>
    <font>
      <sz val="9"/>
      <color rgb="FFC0392B"/>
      <name val="Calibri"/>
      <family val="2"/>
    </font>
    <font>
      <b/>
      <sz val="10"/>
      <color rgb="FFC0392B"/>
      <name val="Calibri"/>
      <family val="2"/>
    </font>
    <font>
      <sz val="9"/>
      <color rgb="FF1A5E30"/>
      <name val="Calibri"/>
      <family val="2"/>
    </font>
    <font>
      <b/>
      <sz val="10"/>
      <color rgb="FFD4AC0D"/>
      <name val="Calibri"/>
      <family val="2"/>
    </font>
    <font>
      <b/>
      <sz val="10"/>
      <color rgb="FF2C3E50"/>
      <name val="Calibri"/>
      <family val="2"/>
    </font>
    <font>
      <i/>
      <sz val="9"/>
      <color rgb="FFD4AC0D"/>
      <name val="Calibri"/>
      <family val="2"/>
    </font>
    <font>
      <b/>
      <sz val="11"/>
      <color rgb="FF0E6B8A"/>
      <name val="Calibri"/>
      <family val="2"/>
    </font>
    <font>
      <sz val="11"/>
      <color rgb="FF7F8C8D"/>
      <name val="Calibri"/>
      <family val="2"/>
    </font>
    <font>
      <b/>
      <sz val="10"/>
      <color rgb="FF7F8C8D"/>
      <name val="Calibri"/>
      <family val="2"/>
    </font>
    <font>
      <b/>
      <sz val="12"/>
      <color rgb="FF1B3A6B"/>
      <name val="Calibri"/>
      <family val="2"/>
    </font>
    <font>
      <sz val="10"/>
      <color rgb="FF1B3A6B"/>
      <name val="Calibri"/>
      <family val="2"/>
    </font>
    <font>
      <sz val="10"/>
      <color rgb="FFC0392B"/>
      <name val="Calibri"/>
      <family val="2"/>
    </font>
    <font>
      <sz val="10"/>
      <color rgb="FF1A5E30"/>
      <name val="Calibri"/>
      <family val="2"/>
    </font>
    <font>
      <b/>
      <sz val="10"/>
      <color rgb="FFD35400"/>
      <name val="Calibri"/>
      <family val="2"/>
    </font>
    <font>
      <sz val="10"/>
      <color rgb="FFD35400"/>
      <name val="Calibri"/>
      <family val="2"/>
    </font>
    <font>
      <b/>
      <sz val="12"/>
      <color rgb="FF1A5E30"/>
      <name val="Calibri"/>
      <family val="2"/>
    </font>
    <font>
      <b/>
      <sz val="12"/>
      <color rgb="FFD35400"/>
      <name val="Calibri"/>
      <family val="2"/>
    </font>
    <font>
      <b/>
      <sz val="12"/>
      <color rgb="FF0E6B8A"/>
      <name val="Calibri"/>
      <family val="2"/>
    </font>
    <font>
      <b/>
      <sz val="12"/>
      <color rgb="FFC0392B"/>
      <name val="Calibri"/>
      <family val="2"/>
    </font>
    <font>
      <b/>
      <sz val="16"/>
      <color rgb="FF1B3A6B"/>
      <name val="Calibri"/>
      <family val="2"/>
    </font>
    <font>
      <b/>
      <sz val="14"/>
      <color rgb="FFFFFFFF"/>
      <name val="Calibri"/>
      <family val="2"/>
    </font>
    <font>
      <b/>
      <sz val="9"/>
      <color rgb="FFFFFFFF"/>
      <name val="Calibri"/>
      <family val="2"/>
    </font>
    <font>
      <i/>
      <sz val="9"/>
      <color rgb="FFD35400"/>
      <name val="Calibri"/>
      <family val="2"/>
    </font>
    <font>
      <b/>
      <sz val="9"/>
      <color rgb="FF2C3E50"/>
      <name val="Calibri"/>
      <family val="2"/>
    </font>
    <font>
      <sz val="9"/>
      <color rgb="FF1B3A6B"/>
      <name val="Calibri"/>
      <family val="2"/>
    </font>
    <font>
      <b/>
      <sz val="9"/>
      <color rgb="FFC0392B"/>
      <name val="Calibri"/>
      <family val="2"/>
    </font>
    <font>
      <b/>
      <sz val="9"/>
      <color rgb="FF1A5E30"/>
      <name val="Calibri"/>
      <family val="2"/>
    </font>
    <font>
      <sz val="9"/>
      <color rgb="FF7F8C8D"/>
      <name val="Calibri"/>
      <family val="2"/>
    </font>
    <font>
      <i/>
      <sz val="9"/>
      <color rgb="FF0E6B8A"/>
      <name val="Calibri"/>
      <family val="2"/>
    </font>
    <font>
      <i/>
      <sz val="9"/>
      <color rgb="FF4A1E7A"/>
      <name val="Calibri"/>
      <family val="2"/>
    </font>
    <font>
      <i/>
      <sz val="9"/>
      <color rgb="FF2C3E50"/>
      <name val="Calibri"/>
      <family val="2"/>
    </font>
    <font>
      <b/>
      <sz val="13"/>
      <color rgb="FFFFFFFF"/>
      <name val="Calibri"/>
      <family val="2"/>
    </font>
    <font>
      <sz val="9"/>
      <color rgb="FFFFFFFF"/>
      <name val="Calibri"/>
      <family val="2"/>
    </font>
    <font>
      <b/>
      <sz val="12"/>
      <color rgb="FFD4AC0D"/>
      <name val="Calibri"/>
      <family val="2"/>
    </font>
    <font>
      <b/>
      <sz val="18"/>
      <color rgb="FF1B3A6B"/>
      <name val="Calibri"/>
      <family val="2"/>
    </font>
    <font>
      <b/>
      <sz val="18"/>
      <color rgb="FF1A5E30"/>
      <name val="Calibri"/>
      <family val="2"/>
    </font>
    <font>
      <b/>
      <sz val="9"/>
      <color rgb="FF0E6B8A"/>
      <name val="Calibri"/>
      <family val="2"/>
    </font>
    <font>
      <b/>
      <sz val="18"/>
      <color rgb="FF0E6B8A"/>
      <name val="Calibri"/>
      <family val="2"/>
    </font>
    <font>
      <b/>
      <sz val="18"/>
      <color rgb="FFC0392B"/>
      <name val="Calibri"/>
      <family val="2"/>
    </font>
    <font>
      <b/>
      <sz val="9"/>
      <color rgb="FFD35400"/>
      <name val="Calibri"/>
      <family val="2"/>
    </font>
    <font>
      <b/>
      <sz val="18"/>
      <color rgb="FFD35400"/>
      <name val="Calibri"/>
      <family val="2"/>
    </font>
    <font>
      <b/>
      <sz val="12"/>
      <color rgb="FFFFFFFF"/>
      <name val="Calibri"/>
      <family val="2"/>
    </font>
    <font>
      <sz val="10"/>
      <color rgb="FF0E6B8A"/>
      <name val="Calibri"/>
      <family val="2"/>
    </font>
    <font>
      <b/>
      <sz val="13"/>
      <color rgb="FFD4AC0D"/>
      <name val="Calibri"/>
      <family val="2"/>
    </font>
    <font>
      <sz val="11"/>
      <color rgb="FF1A5E30"/>
      <name val="Calibri"/>
      <family val="2"/>
    </font>
    <font>
      <sz val="11"/>
      <color rgb="FFC0392B"/>
      <name val="Calibri"/>
      <family val="2"/>
    </font>
    <font>
      <b/>
      <sz val="14"/>
      <color rgb="FF1B3A6B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1B3A6B"/>
      </patternFill>
    </fill>
    <fill>
      <patternFill patternType="solid">
        <fgColor rgb="FFD4AC0D"/>
      </patternFill>
    </fill>
    <fill>
      <patternFill patternType="solid">
        <fgColor rgb="FF0E6B8A"/>
      </patternFill>
    </fill>
    <fill>
      <patternFill patternType="solid">
        <fgColor rgb="FFEBF4FF"/>
      </patternFill>
    </fill>
    <fill>
      <patternFill patternType="solid">
        <fgColor rgb="FF2C3E50"/>
      </patternFill>
    </fill>
    <fill>
      <patternFill patternType="solid">
        <fgColor rgb="FFD6E8F8"/>
      </patternFill>
    </fill>
    <fill>
      <patternFill patternType="solid">
        <fgColor rgb="FFFFFFFF"/>
      </patternFill>
    </fill>
    <fill>
      <patternFill patternType="solid">
        <fgColor rgb="FF1A5E30"/>
      </patternFill>
    </fill>
    <fill>
      <patternFill patternType="solid">
        <fgColor rgb="FFD5F5E3"/>
      </patternFill>
    </fill>
    <fill>
      <patternFill patternType="solid">
        <fgColor rgb="FFFFF9C4"/>
      </patternFill>
    </fill>
    <fill>
      <patternFill patternType="solid">
        <fgColor rgb="FFF2F2F2"/>
      </patternFill>
    </fill>
    <fill>
      <patternFill patternType="solid">
        <fgColor rgb="FFFADBD8"/>
      </patternFill>
    </fill>
    <fill>
      <patternFill patternType="solid">
        <fgColor rgb="FFFFF3CD"/>
      </patternFill>
    </fill>
    <fill>
      <patternFill patternType="solid">
        <fgColor rgb="FFE8F8EE"/>
      </patternFill>
    </fill>
    <fill>
      <patternFill patternType="solid">
        <fgColor rgb="FFFAE5D3"/>
      </patternFill>
    </fill>
    <fill>
      <patternFill patternType="solid">
        <fgColor rgb="FFF5EEF8"/>
      </patternFill>
    </fill>
    <fill>
      <patternFill patternType="solid">
        <fgColor rgb="FFFFF3E0"/>
      </patternFill>
    </fill>
    <fill>
      <patternFill patternType="solid">
        <fgColor rgb="FFFFF8F8"/>
      </patternFill>
    </fill>
    <fill>
      <patternFill patternType="solid">
        <fgColor rgb="FFF0FFF0"/>
      </patternFill>
    </fill>
    <fill>
      <patternFill patternType="solid">
        <fgColor rgb="FFF0F8FF"/>
      </patternFill>
    </fill>
    <fill>
      <patternFill patternType="solid">
        <fgColor rgb="FFF9F0FF"/>
      </patternFill>
    </fill>
    <fill>
      <patternFill patternType="solid">
        <fgColor rgb="FFE8E8E8"/>
      </patternFill>
    </fill>
    <fill>
      <patternFill patternType="solid">
        <fgColor rgb="FFC0392B"/>
      </patternFill>
    </fill>
    <fill>
      <patternFill patternType="solid">
        <fgColor rgb="FFF0F0F0"/>
      </patternFill>
    </fill>
    <fill>
      <patternFill patternType="solid">
        <fgColor rgb="FFD35400"/>
      </patternFill>
    </fill>
    <fill>
      <patternFill patternType="solid">
        <fgColor rgb="FFFFF9E6"/>
      </patternFill>
    </fill>
    <fill>
      <patternFill patternType="solid">
        <fgColor rgb="FFE8F4F8"/>
      </patternFill>
    </fill>
    <fill>
      <patternFill patternType="solid">
        <fgColor rgb="FFF0EAF8"/>
      </patternFill>
    </fill>
    <fill>
      <patternFill patternType="solid">
        <fgColor rgb="FFE0E0E0"/>
      </patternFill>
    </fill>
    <fill>
      <patternFill patternType="solid">
        <fgColor rgb="FF2E4057"/>
      </patternFill>
    </fill>
    <fill>
      <patternFill patternType="solid">
        <fgColor rgb="FF1A6B4A"/>
      </patternFill>
    </fill>
    <fill>
      <patternFill patternType="solid">
        <fgColor rgb="FF6B1A1A"/>
      </patternFill>
    </fill>
    <fill>
      <patternFill patternType="solid">
        <fgColor rgb="FF5A3E7A"/>
      </patternFill>
    </fill>
    <fill>
      <patternFill patternType="solid">
        <fgColor rgb="FFFFE0E0"/>
      </patternFill>
    </fill>
    <fill>
      <patternFill patternType="solid">
        <fgColor rgb="FFE0F0FF"/>
      </patternFill>
    </fill>
    <fill>
      <patternFill patternType="solid">
        <fgColor rgb="FFE0FFE0"/>
      </patternFill>
    </fill>
    <fill>
      <patternFill patternType="solid">
        <fgColor rgb="FFFFFDE0"/>
      </patternFill>
    </fill>
    <fill>
      <patternFill patternType="solid">
        <fgColor rgb="FFF0E0FF"/>
      </patternFill>
    </fill>
    <fill>
      <patternFill patternType="solid">
        <fgColor rgb="FFF5F5F5"/>
      </patternFill>
    </fill>
    <fill>
      <patternFill patternType="solid">
        <fgColor rgb="FFF0FFF4"/>
      </patternFill>
    </fill>
    <fill>
      <patternFill patternType="solid">
        <fgColor rgb="FFF0EAFF"/>
      </patternFill>
    </fill>
  </fills>
  <borders count="9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thin">
        <color rgb="FFD4AC0D"/>
      </left>
      <right style="thin">
        <color rgb="FFD4AC0D"/>
      </right>
      <top style="thin">
        <color rgb="FFD4AC0D"/>
      </top>
      <bottom style="thin">
        <color rgb="FFD4AC0D"/>
      </bottom>
      <diagonal/>
    </border>
    <border>
      <left style="medium">
        <color rgb="FF1B3A6B"/>
      </left>
      <right style="medium">
        <color rgb="FF1B3A6B"/>
      </right>
      <top style="medium">
        <color rgb="FF1B3A6B"/>
      </top>
      <bottom style="medium">
        <color rgb="FF1B3A6B"/>
      </bottom>
      <diagonal/>
    </border>
    <border>
      <left/>
      <right/>
      <top style="thin">
        <color rgb="FFBDC3C7"/>
      </top>
      <bottom style="thin">
        <color rgb="FFBDC3C7"/>
      </bottom>
      <diagonal/>
    </border>
    <border>
      <left/>
      <right style="thin">
        <color rgb="FFBDC3C7"/>
      </right>
      <top style="thin">
        <color rgb="FFBDC3C7"/>
      </top>
      <bottom style="thin">
        <color rgb="FFBDC3C7"/>
      </bottom>
      <diagonal/>
    </border>
    <border>
      <left/>
      <right/>
      <top style="thin">
        <color rgb="FFD4AC0D"/>
      </top>
      <bottom style="thin">
        <color rgb="FFD4AC0D"/>
      </bottom>
      <diagonal/>
    </border>
    <border>
      <left/>
      <right style="thin">
        <color rgb="FFD4AC0D"/>
      </right>
      <top style="thin">
        <color rgb="FFD4AC0D"/>
      </top>
      <bottom style="thin">
        <color rgb="FFD4AC0D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0" fillId="3" borderId="0" xfId="0" applyFill="1"/>
    <xf numFmtId="0" fontId="3" fillId="6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14" fillId="11" borderId="3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13" borderId="2" xfId="0" applyFont="1" applyFill="1" applyBorder="1" applyAlignment="1">
      <alignment horizontal="left" vertical="center"/>
    </xf>
    <xf numFmtId="0" fontId="0" fillId="13" borderId="2" xfId="0" applyFill="1" applyBorder="1"/>
    <xf numFmtId="0" fontId="17" fillId="13" borderId="2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15" fillId="14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left" vertical="center"/>
    </xf>
    <xf numFmtId="0" fontId="0" fillId="10" borderId="2" xfId="0" applyFill="1" applyBorder="1"/>
    <xf numFmtId="0" fontId="7" fillId="10" borderId="2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3" fontId="10" fillId="2" borderId="0" xfId="0" applyNumberFormat="1" applyFont="1" applyFill="1" applyAlignment="1">
      <alignment horizontal="center" vertical="center"/>
    </xf>
    <xf numFmtId="3" fontId="12" fillId="2" borderId="3" xfId="0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left" vertical="center"/>
    </xf>
    <xf numFmtId="0" fontId="6" fillId="13" borderId="2" xfId="0" applyFont="1" applyFill="1" applyBorder="1" applyAlignment="1">
      <alignment horizontal="center" vertical="center"/>
    </xf>
    <xf numFmtId="3" fontId="6" fillId="13" borderId="2" xfId="0" applyNumberFormat="1" applyFont="1" applyFill="1" applyBorder="1" applyAlignment="1">
      <alignment horizontal="center" vertical="center"/>
    </xf>
    <xf numFmtId="0" fontId="20" fillId="7" borderId="2" xfId="0" applyFont="1" applyFill="1" applyBorder="1" applyAlignment="1">
      <alignment horizontal="left" vertical="center"/>
    </xf>
    <xf numFmtId="0" fontId="6" fillId="7" borderId="2" xfId="0" applyFont="1" applyFill="1" applyBorder="1" applyAlignment="1">
      <alignment horizontal="center" vertical="center"/>
    </xf>
    <xf numFmtId="3" fontId="6" fillId="7" borderId="2" xfId="0" applyNumberFormat="1" applyFont="1" applyFill="1" applyBorder="1" applyAlignment="1">
      <alignment horizontal="center" vertical="center"/>
    </xf>
    <xf numFmtId="0" fontId="20" fillId="10" borderId="2" xfId="0" applyFont="1" applyFill="1" applyBorder="1" applyAlignment="1">
      <alignment horizontal="left" vertical="center"/>
    </xf>
    <xf numFmtId="0" fontId="6" fillId="10" borderId="2" xfId="0" applyFont="1" applyFill="1" applyBorder="1" applyAlignment="1">
      <alignment horizontal="center" vertical="center"/>
    </xf>
    <xf numFmtId="3" fontId="6" fillId="10" borderId="2" xfId="0" applyNumberFormat="1" applyFont="1" applyFill="1" applyBorder="1" applyAlignment="1">
      <alignment horizontal="center" vertical="center"/>
    </xf>
    <xf numFmtId="0" fontId="20" fillId="12" borderId="2" xfId="0" applyFont="1" applyFill="1" applyBorder="1" applyAlignment="1">
      <alignment horizontal="left" vertical="center"/>
    </xf>
    <xf numFmtId="3" fontId="6" fillId="12" borderId="2" xfId="0" applyNumberFormat="1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20" fillId="18" borderId="2" xfId="0" applyFont="1" applyFill="1" applyBorder="1" applyAlignment="1">
      <alignment horizontal="left" vertical="center"/>
    </xf>
    <xf numFmtId="0" fontId="6" fillId="18" borderId="2" xfId="0" applyFont="1" applyFill="1" applyBorder="1" applyAlignment="1">
      <alignment horizontal="center" vertical="center"/>
    </xf>
    <xf numFmtId="3" fontId="6" fillId="18" borderId="2" xfId="0" applyNumberFormat="1" applyFont="1" applyFill="1" applyBorder="1" applyAlignment="1">
      <alignment horizontal="center" vertical="center"/>
    </xf>
    <xf numFmtId="0" fontId="20" fillId="19" borderId="2" xfId="0" applyFont="1" applyFill="1" applyBorder="1" applyAlignment="1">
      <alignment horizontal="left" vertical="center"/>
    </xf>
    <xf numFmtId="0" fontId="6" fillId="19" borderId="2" xfId="0" applyFont="1" applyFill="1" applyBorder="1" applyAlignment="1">
      <alignment horizontal="center" vertical="center"/>
    </xf>
    <xf numFmtId="3" fontId="6" fillId="19" borderId="2" xfId="0" applyNumberFormat="1" applyFont="1" applyFill="1" applyBorder="1" applyAlignment="1">
      <alignment horizontal="center" vertical="center"/>
    </xf>
    <xf numFmtId="0" fontId="20" fillId="20" borderId="2" xfId="0" applyFont="1" applyFill="1" applyBorder="1" applyAlignment="1">
      <alignment horizontal="left" vertical="center"/>
    </xf>
    <xf numFmtId="0" fontId="6" fillId="20" borderId="2" xfId="0" applyFont="1" applyFill="1" applyBorder="1" applyAlignment="1">
      <alignment horizontal="center" vertical="center"/>
    </xf>
    <xf numFmtId="3" fontId="6" fillId="20" borderId="2" xfId="0" applyNumberFormat="1" applyFont="1" applyFill="1" applyBorder="1" applyAlignment="1">
      <alignment horizontal="center" vertical="center"/>
    </xf>
    <xf numFmtId="0" fontId="20" fillId="16" borderId="2" xfId="0" applyFont="1" applyFill="1" applyBorder="1" applyAlignment="1">
      <alignment horizontal="left" vertical="center"/>
    </xf>
    <xf numFmtId="3" fontId="6" fillId="16" borderId="2" xfId="0" applyNumberFormat="1" applyFont="1" applyFill="1" applyBorder="1" applyAlignment="1">
      <alignment horizontal="center" vertical="center"/>
    </xf>
    <xf numFmtId="0" fontId="6" fillId="16" borderId="2" xfId="0" applyFont="1" applyFill="1" applyBorder="1" applyAlignment="1">
      <alignment horizontal="center" vertical="center"/>
    </xf>
    <xf numFmtId="0" fontId="20" fillId="21" borderId="2" xfId="0" applyFont="1" applyFill="1" applyBorder="1" applyAlignment="1">
      <alignment horizontal="left" vertical="center"/>
    </xf>
    <xf numFmtId="0" fontId="6" fillId="21" borderId="2" xfId="0" applyFont="1" applyFill="1" applyBorder="1" applyAlignment="1">
      <alignment horizontal="center" vertical="center"/>
    </xf>
    <xf numFmtId="3" fontId="6" fillId="21" borderId="2" xfId="0" applyNumberFormat="1" applyFont="1" applyFill="1" applyBorder="1" applyAlignment="1">
      <alignment horizontal="center" vertical="center"/>
    </xf>
    <xf numFmtId="0" fontId="20" fillId="17" borderId="2" xfId="0" applyFont="1" applyFill="1" applyBorder="1" applyAlignment="1">
      <alignment horizontal="left" vertical="center"/>
    </xf>
    <xf numFmtId="3" fontId="6" fillId="17" borderId="2" xfId="0" applyNumberFormat="1" applyFont="1" applyFill="1" applyBorder="1" applyAlignment="1">
      <alignment horizontal="center" vertical="center"/>
    </xf>
    <xf numFmtId="0" fontId="6" fillId="17" borderId="2" xfId="0" applyFont="1" applyFill="1" applyBorder="1" applyAlignment="1">
      <alignment horizontal="center" vertical="center"/>
    </xf>
    <xf numFmtId="0" fontId="20" fillId="22" borderId="2" xfId="0" applyFont="1" applyFill="1" applyBorder="1" applyAlignment="1">
      <alignment horizontal="left" vertical="center"/>
    </xf>
    <xf numFmtId="0" fontId="6" fillId="22" borderId="2" xfId="0" applyFont="1" applyFill="1" applyBorder="1" applyAlignment="1">
      <alignment horizontal="center" vertical="center"/>
    </xf>
    <xf numFmtId="3" fontId="6" fillId="22" borderId="2" xfId="0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 wrapText="1"/>
    </xf>
    <xf numFmtId="0" fontId="5" fillId="18" borderId="2" xfId="0" applyFont="1" applyFill="1" applyBorder="1" applyAlignment="1">
      <alignment horizontal="left" vertical="center"/>
    </xf>
    <xf numFmtId="3" fontId="22" fillId="11" borderId="3" xfId="0" applyNumberFormat="1" applyFont="1" applyFill="1" applyBorder="1" applyAlignment="1">
      <alignment horizontal="center" vertical="center"/>
    </xf>
    <xf numFmtId="3" fontId="11" fillId="7" borderId="2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5" fillId="19" borderId="2" xfId="0" applyFont="1" applyFill="1" applyBorder="1" applyAlignment="1">
      <alignment horizontal="left" vertical="center"/>
    </xf>
    <xf numFmtId="3" fontId="23" fillId="8" borderId="2" xfId="0" applyNumberFormat="1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left" vertical="center"/>
    </xf>
    <xf numFmtId="0" fontId="24" fillId="12" borderId="0" xfId="0" applyFont="1" applyFill="1" applyAlignment="1">
      <alignment horizontal="center" vertical="center"/>
    </xf>
    <xf numFmtId="0" fontId="5" fillId="21" borderId="2" xfId="0" applyFont="1" applyFill="1" applyBorder="1" applyAlignment="1">
      <alignment horizontal="left" vertical="center"/>
    </xf>
    <xf numFmtId="0" fontId="5" fillId="22" borderId="2" xfId="0" applyFont="1" applyFill="1" applyBorder="1" applyAlignment="1">
      <alignment horizontal="left" vertical="center"/>
    </xf>
    <xf numFmtId="0" fontId="12" fillId="6" borderId="3" xfId="0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0" fillId="23" borderId="0" xfId="0" applyFill="1"/>
    <xf numFmtId="0" fontId="5" fillId="7" borderId="2" xfId="0" applyFont="1" applyFill="1" applyBorder="1" applyAlignment="1">
      <alignment horizontal="left" vertical="center"/>
    </xf>
    <xf numFmtId="0" fontId="3" fillId="24" borderId="2" xfId="0" applyFont="1" applyFill="1" applyBorder="1" applyAlignment="1">
      <alignment horizontal="center" vertical="center"/>
    </xf>
    <xf numFmtId="2" fontId="26" fillId="7" borderId="2" xfId="0" applyNumberFormat="1" applyFont="1" applyFill="1" applyBorder="1" applyAlignment="1">
      <alignment horizontal="center" vertical="center"/>
    </xf>
    <xf numFmtId="0" fontId="17" fillId="13" borderId="2" xfId="0" applyFont="1" applyFill="1" applyBorder="1" applyAlignment="1">
      <alignment horizontal="left" vertical="center"/>
    </xf>
    <xf numFmtId="0" fontId="3" fillId="24" borderId="0" xfId="0" applyFont="1" applyFill="1" applyAlignment="1">
      <alignment horizontal="center" vertical="center"/>
    </xf>
    <xf numFmtId="0" fontId="27" fillId="13" borderId="2" xfId="0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left" vertical="center"/>
    </xf>
    <xf numFmtId="0" fontId="0" fillId="10" borderId="0" xfId="0" applyFill="1"/>
    <xf numFmtId="3" fontId="28" fillId="10" borderId="2" xfId="0" applyNumberFormat="1" applyFont="1" applyFill="1" applyBorder="1" applyAlignment="1">
      <alignment horizontal="center" vertical="center"/>
    </xf>
    <xf numFmtId="0" fontId="29" fillId="16" borderId="2" xfId="0" applyFont="1" applyFill="1" applyBorder="1" applyAlignment="1">
      <alignment horizontal="left" vertical="center"/>
    </xf>
    <xf numFmtId="0" fontId="0" fillId="16" borderId="0" xfId="0" applyFill="1"/>
    <xf numFmtId="3" fontId="30" fillId="16" borderId="2" xfId="0" applyNumberFormat="1" applyFont="1" applyFill="1" applyBorder="1" applyAlignment="1">
      <alignment horizontal="center" vertical="center"/>
    </xf>
    <xf numFmtId="0" fontId="29" fillId="18" borderId="2" xfId="0" applyFont="1" applyFill="1" applyBorder="1" applyAlignment="1">
      <alignment horizontal="left" vertical="center"/>
    </xf>
    <xf numFmtId="0" fontId="0" fillId="18" borderId="0" xfId="0" applyFill="1"/>
    <xf numFmtId="3" fontId="30" fillId="18" borderId="2" xfId="0" applyNumberFormat="1" applyFont="1" applyFill="1" applyBorder="1" applyAlignment="1">
      <alignment horizontal="center" vertical="center"/>
    </xf>
    <xf numFmtId="0" fontId="0" fillId="25" borderId="0" xfId="0" applyFill="1"/>
    <xf numFmtId="0" fontId="0" fillId="7" borderId="0" xfId="0" applyFill="1"/>
    <xf numFmtId="0" fontId="26" fillId="7" borderId="2" xfId="0" applyFont="1" applyFill="1" applyBorder="1" applyAlignment="1">
      <alignment horizontal="center" vertical="center"/>
    </xf>
    <xf numFmtId="1" fontId="26" fillId="7" borderId="2" xfId="0" applyNumberFormat="1" applyFont="1" applyFill="1" applyBorder="1" applyAlignment="1">
      <alignment horizontal="center" vertical="center"/>
    </xf>
    <xf numFmtId="1" fontId="28" fillId="10" borderId="2" xfId="0" applyNumberFormat="1" applyFont="1" applyFill="1" applyBorder="1" applyAlignment="1">
      <alignment horizontal="center" vertical="center"/>
    </xf>
    <xf numFmtId="1" fontId="6" fillId="12" borderId="2" xfId="0" applyNumberFormat="1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/>
    </xf>
    <xf numFmtId="0" fontId="10" fillId="2" borderId="3" xfId="0" applyFont="1" applyFill="1" applyBorder="1" applyAlignment="1">
      <alignment horizontal="left" vertical="center"/>
    </xf>
    <xf numFmtId="3" fontId="35" fillId="3" borderId="4" xfId="0" applyNumberFormat="1" applyFont="1" applyFill="1" applyBorder="1" applyAlignment="1">
      <alignment horizontal="center" vertical="center"/>
    </xf>
    <xf numFmtId="3" fontId="7" fillId="18" borderId="2" xfId="0" applyNumberFormat="1" applyFont="1" applyFill="1" applyBorder="1" applyAlignment="1">
      <alignment horizontal="center" vertical="center"/>
    </xf>
    <xf numFmtId="164" fontId="6" fillId="18" borderId="2" xfId="0" applyNumberFormat="1" applyFont="1" applyFill="1" applyBorder="1" applyAlignment="1">
      <alignment horizontal="center" vertical="center"/>
    </xf>
    <xf numFmtId="3" fontId="7" fillId="19" borderId="2" xfId="0" applyNumberFormat="1" applyFont="1" applyFill="1" applyBorder="1" applyAlignment="1">
      <alignment horizontal="center" vertical="center"/>
    </xf>
    <xf numFmtId="164" fontId="6" fillId="19" borderId="2" xfId="0" applyNumberFormat="1" applyFont="1" applyFill="1" applyBorder="1" applyAlignment="1">
      <alignment horizontal="center" vertical="center"/>
    </xf>
    <xf numFmtId="3" fontId="7" fillId="20" borderId="2" xfId="0" applyNumberFormat="1" applyFont="1" applyFill="1" applyBorder="1" applyAlignment="1">
      <alignment horizontal="center" vertical="center"/>
    </xf>
    <xf numFmtId="164" fontId="6" fillId="20" borderId="2" xfId="0" applyNumberFormat="1" applyFont="1" applyFill="1" applyBorder="1" applyAlignment="1">
      <alignment horizontal="center" vertical="center"/>
    </xf>
    <xf numFmtId="3" fontId="7" fillId="21" borderId="2" xfId="0" applyNumberFormat="1" applyFont="1" applyFill="1" applyBorder="1" applyAlignment="1">
      <alignment horizontal="center" vertical="center"/>
    </xf>
    <xf numFmtId="164" fontId="6" fillId="21" borderId="2" xfId="0" applyNumberFormat="1" applyFont="1" applyFill="1" applyBorder="1" applyAlignment="1">
      <alignment horizontal="center" vertical="center"/>
    </xf>
    <xf numFmtId="3" fontId="7" fillId="22" borderId="2" xfId="0" applyNumberFormat="1" applyFont="1" applyFill="1" applyBorder="1" applyAlignment="1">
      <alignment horizontal="center" vertical="center"/>
    </xf>
    <xf numFmtId="164" fontId="6" fillId="22" borderId="2" xfId="0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3" fontId="25" fillId="3" borderId="0" xfId="0" applyNumberFormat="1" applyFont="1" applyFill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30" fillId="16" borderId="2" xfId="0" applyFont="1" applyFill="1" applyBorder="1" applyAlignment="1">
      <alignment horizontal="center" vertical="center"/>
    </xf>
    <xf numFmtId="0" fontId="37" fillId="4" borderId="2" xfId="0" applyFont="1" applyFill="1" applyBorder="1" applyAlignment="1">
      <alignment horizontal="center" vertical="center" wrapText="1"/>
    </xf>
    <xf numFmtId="0" fontId="12" fillId="9" borderId="0" xfId="0" applyFont="1" applyFill="1" applyAlignment="1">
      <alignment horizontal="center" vertical="center"/>
    </xf>
    <xf numFmtId="0" fontId="37" fillId="2" borderId="2" xfId="0" applyFont="1" applyFill="1" applyBorder="1" applyAlignment="1">
      <alignment horizontal="center" vertical="center"/>
    </xf>
    <xf numFmtId="0" fontId="38" fillId="27" borderId="2" xfId="0" applyFont="1" applyFill="1" applyBorder="1" applyAlignment="1">
      <alignment horizontal="center" vertical="center"/>
    </xf>
    <xf numFmtId="0" fontId="39" fillId="27" borderId="2" xfId="0" applyFont="1" applyFill="1" applyBorder="1" applyAlignment="1">
      <alignment horizontal="left" vertical="center" wrapText="1"/>
    </xf>
    <xf numFmtId="2" fontId="29" fillId="27" borderId="2" xfId="0" applyNumberFormat="1" applyFont="1" applyFill="1" applyBorder="1" applyAlignment="1">
      <alignment horizontal="center" vertical="center"/>
    </xf>
    <xf numFmtId="0" fontId="40" fillId="7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  <xf numFmtId="0" fontId="16" fillId="13" borderId="2" xfId="0" applyFont="1" applyFill="1" applyBorder="1" applyAlignment="1">
      <alignment horizontal="center" vertical="center"/>
    </xf>
    <xf numFmtId="0" fontId="0" fillId="8" borderId="0" xfId="0" applyFill="1"/>
    <xf numFmtId="0" fontId="41" fillId="13" borderId="2" xfId="0" applyFont="1" applyFill="1" applyBorder="1" applyAlignment="1">
      <alignment horizontal="center" vertical="center"/>
    </xf>
    <xf numFmtId="0" fontId="42" fillId="10" borderId="2" xfId="0" applyFont="1" applyFill="1" applyBorder="1" applyAlignment="1">
      <alignment horizontal="left" vertical="center"/>
    </xf>
    <xf numFmtId="3" fontId="18" fillId="10" borderId="2" xfId="0" applyNumberFormat="1" applyFont="1" applyFill="1" applyBorder="1" applyAlignment="1">
      <alignment horizontal="center" vertical="center"/>
    </xf>
    <xf numFmtId="3" fontId="43" fillId="10" borderId="2" xfId="0" applyNumberFormat="1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/>
    </xf>
    <xf numFmtId="0" fontId="16" fillId="8" borderId="2" xfId="0" applyFont="1" applyFill="1" applyBorder="1" applyAlignment="1">
      <alignment horizontal="center" vertical="center"/>
    </xf>
    <xf numFmtId="2" fontId="20" fillId="27" borderId="2" xfId="0" applyNumberFormat="1" applyFont="1" applyFill="1" applyBorder="1" applyAlignment="1">
      <alignment horizontal="center" vertical="center"/>
    </xf>
    <xf numFmtId="0" fontId="0" fillId="8" borderId="2" xfId="0" applyFill="1" applyBorder="1"/>
    <xf numFmtId="0" fontId="37" fillId="9" borderId="2" xfId="0" applyFont="1" applyFill="1" applyBorder="1" applyAlignment="1">
      <alignment horizontal="left" vertical="center"/>
    </xf>
    <xf numFmtId="3" fontId="5" fillId="3" borderId="2" xfId="0" applyNumberFormat="1" applyFont="1" applyFill="1" applyBorder="1" applyAlignment="1">
      <alignment horizontal="center" vertical="center"/>
    </xf>
    <xf numFmtId="0" fontId="0" fillId="12" borderId="2" xfId="0" applyFill="1" applyBorder="1"/>
    <xf numFmtId="0" fontId="44" fillId="28" borderId="2" xfId="0" applyFont="1" applyFill="1" applyBorder="1" applyAlignment="1">
      <alignment horizontal="center" vertical="center"/>
    </xf>
    <xf numFmtId="0" fontId="43" fillId="12" borderId="2" xfId="0" applyFont="1" applyFill="1" applyBorder="1" applyAlignment="1">
      <alignment horizontal="left" vertical="center" wrapText="1"/>
    </xf>
    <xf numFmtId="0" fontId="40" fillId="12" borderId="2" xfId="0" applyFont="1" applyFill="1" applyBorder="1" applyAlignment="1">
      <alignment horizontal="center" vertical="center"/>
    </xf>
    <xf numFmtId="0" fontId="18" fillId="12" borderId="2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45" fillId="29" borderId="2" xfId="0" applyFont="1" applyFill="1" applyBorder="1" applyAlignment="1">
      <alignment horizontal="center" vertical="center"/>
    </xf>
    <xf numFmtId="0" fontId="0" fillId="30" borderId="0" xfId="0" applyFill="1"/>
    <xf numFmtId="0" fontId="39" fillId="28" borderId="2" xfId="0" applyFont="1" applyFill="1" applyBorder="1" applyAlignment="1">
      <alignment horizontal="left" vertical="center" wrapText="1"/>
    </xf>
    <xf numFmtId="2" fontId="20" fillId="28" borderId="2" xfId="0" applyNumberFormat="1" applyFont="1" applyFill="1" applyBorder="1" applyAlignment="1">
      <alignment horizontal="center" vertical="center"/>
    </xf>
    <xf numFmtId="0" fontId="39" fillId="7" borderId="2" xfId="0" applyFont="1" applyFill="1" applyBorder="1" applyAlignment="1">
      <alignment horizontal="left" vertical="center"/>
    </xf>
    <xf numFmtId="0" fontId="15" fillId="7" borderId="2" xfId="0" applyFont="1" applyFill="1" applyBorder="1" applyAlignment="1">
      <alignment horizontal="left" vertical="center"/>
    </xf>
    <xf numFmtId="0" fontId="39" fillId="7" borderId="2" xfId="0" applyFont="1" applyFill="1" applyBorder="1" applyAlignment="1">
      <alignment horizontal="center" vertical="center"/>
    </xf>
    <xf numFmtId="3" fontId="15" fillId="7" borderId="2" xfId="0" applyNumberFormat="1" applyFont="1" applyFill="1" applyBorder="1" applyAlignment="1">
      <alignment horizontal="center" vertical="center"/>
    </xf>
    <xf numFmtId="0" fontId="15" fillId="7" borderId="2" xfId="0" applyFont="1" applyFill="1" applyBorder="1" applyAlignment="1">
      <alignment horizontal="center" vertical="center"/>
    </xf>
    <xf numFmtId="0" fontId="15" fillId="35" borderId="2" xfId="0" applyFont="1" applyFill="1" applyBorder="1" applyAlignment="1">
      <alignment horizontal="center" vertical="center"/>
    </xf>
    <xf numFmtId="0" fontId="15" fillId="36" borderId="2" xfId="0" applyFont="1" applyFill="1" applyBorder="1" applyAlignment="1">
      <alignment horizontal="center" vertical="center"/>
    </xf>
    <xf numFmtId="0" fontId="15" fillId="37" borderId="2" xfId="0" applyFont="1" applyFill="1" applyBorder="1" applyAlignment="1">
      <alignment horizontal="center" vertical="center"/>
    </xf>
    <xf numFmtId="0" fontId="15" fillId="38" borderId="2" xfId="0" applyFont="1" applyFill="1" applyBorder="1" applyAlignment="1">
      <alignment horizontal="center" vertical="center"/>
    </xf>
    <xf numFmtId="0" fontId="15" fillId="39" borderId="2" xfId="0" applyFont="1" applyFill="1" applyBorder="1" applyAlignment="1">
      <alignment horizontal="center" vertical="center"/>
    </xf>
    <xf numFmtId="0" fontId="39" fillId="10" borderId="2" xfId="0" applyFont="1" applyFill="1" applyBorder="1" applyAlignment="1">
      <alignment horizontal="left" vertical="center"/>
    </xf>
    <xf numFmtId="0" fontId="15" fillId="10" borderId="2" xfId="0" applyFont="1" applyFill="1" applyBorder="1" applyAlignment="1">
      <alignment horizontal="left" vertical="center"/>
    </xf>
    <xf numFmtId="0" fontId="39" fillId="10" borderId="2" xfId="0" applyFont="1" applyFill="1" applyBorder="1" applyAlignment="1">
      <alignment horizontal="center" vertical="center"/>
    </xf>
    <xf numFmtId="3" fontId="15" fillId="10" borderId="2" xfId="0" applyNumberFormat="1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/>
    </xf>
    <xf numFmtId="0" fontId="15" fillId="40" borderId="2" xfId="0" applyFont="1" applyFill="1" applyBorder="1" applyAlignment="1">
      <alignment horizontal="center" vertical="center"/>
    </xf>
    <xf numFmtId="0" fontId="39" fillId="13" borderId="2" xfId="0" applyFont="1" applyFill="1" applyBorder="1" applyAlignment="1">
      <alignment horizontal="left" vertical="center"/>
    </xf>
    <xf numFmtId="0" fontId="15" fillId="13" borderId="2" xfId="0" applyFont="1" applyFill="1" applyBorder="1" applyAlignment="1">
      <alignment horizontal="left" vertical="center"/>
    </xf>
    <xf numFmtId="0" fontId="39" fillId="13" borderId="2" xfId="0" applyFont="1" applyFill="1" applyBorder="1" applyAlignment="1">
      <alignment horizontal="center" vertical="center"/>
    </xf>
    <xf numFmtId="3" fontId="15" fillId="13" borderId="2" xfId="0" applyNumberFormat="1" applyFont="1" applyFill="1" applyBorder="1" applyAlignment="1">
      <alignment horizontal="center" vertical="center"/>
    </xf>
    <xf numFmtId="0" fontId="15" fillId="13" borderId="2" xfId="0" applyFont="1" applyFill="1" applyBorder="1" applyAlignment="1">
      <alignment horizontal="center" vertical="center"/>
    </xf>
    <xf numFmtId="0" fontId="39" fillId="16" borderId="2" xfId="0" applyFont="1" applyFill="1" applyBorder="1" applyAlignment="1">
      <alignment horizontal="left" vertical="center"/>
    </xf>
    <xf numFmtId="0" fontId="15" fillId="16" borderId="2" xfId="0" applyFont="1" applyFill="1" applyBorder="1" applyAlignment="1">
      <alignment horizontal="left" vertical="center"/>
    </xf>
    <xf numFmtId="0" fontId="39" fillId="16" borderId="2" xfId="0" applyFont="1" applyFill="1" applyBorder="1" applyAlignment="1">
      <alignment horizontal="center" vertical="center"/>
    </xf>
    <xf numFmtId="3" fontId="15" fillId="16" borderId="2" xfId="0" applyNumberFormat="1" applyFont="1" applyFill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39" fillId="17" borderId="2" xfId="0" applyFont="1" applyFill="1" applyBorder="1" applyAlignment="1">
      <alignment horizontal="left" vertical="center"/>
    </xf>
    <xf numFmtId="0" fontId="15" fillId="17" borderId="2" xfId="0" applyFont="1" applyFill="1" applyBorder="1" applyAlignment="1">
      <alignment horizontal="left" vertical="center"/>
    </xf>
    <xf numFmtId="0" fontId="39" fillId="17" borderId="2" xfId="0" applyFont="1" applyFill="1" applyBorder="1" applyAlignment="1">
      <alignment horizontal="center" vertical="center"/>
    </xf>
    <xf numFmtId="3" fontId="15" fillId="17" borderId="2" xfId="0" applyNumberFormat="1" applyFont="1" applyFill="1" applyBorder="1" applyAlignment="1">
      <alignment horizontal="center" vertical="center"/>
    </xf>
    <xf numFmtId="0" fontId="15" fillId="17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7" fillId="7" borderId="2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left" vertical="center"/>
    </xf>
    <xf numFmtId="0" fontId="17" fillId="41" borderId="2" xfId="0" applyFont="1" applyFill="1" applyBorder="1" applyAlignment="1">
      <alignment horizontal="center" vertical="center"/>
    </xf>
    <xf numFmtId="0" fontId="6" fillId="41" borderId="2" xfId="0" applyFont="1" applyFill="1" applyBorder="1" applyAlignment="1">
      <alignment horizontal="center" vertical="center"/>
    </xf>
    <xf numFmtId="0" fontId="5" fillId="27" borderId="2" xfId="0" applyFont="1" applyFill="1" applyBorder="1" applyAlignment="1">
      <alignment horizontal="left" vertical="center"/>
    </xf>
    <xf numFmtId="0" fontId="6" fillId="27" borderId="2" xfId="0" applyFont="1" applyFill="1" applyBorder="1" applyAlignment="1">
      <alignment horizontal="center" vertical="center"/>
    </xf>
    <xf numFmtId="0" fontId="17" fillId="27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left" vertical="center"/>
    </xf>
    <xf numFmtId="0" fontId="17" fillId="42" borderId="2" xfId="0" applyFont="1" applyFill="1" applyBorder="1" applyAlignment="1">
      <alignment horizontal="center" vertical="center"/>
    </xf>
    <xf numFmtId="0" fontId="6" fillId="42" borderId="2" xfId="0" applyFont="1" applyFill="1" applyBorder="1" applyAlignment="1">
      <alignment horizontal="center" vertical="center"/>
    </xf>
    <xf numFmtId="0" fontId="5" fillId="13" borderId="2" xfId="0" applyFont="1" applyFill="1" applyBorder="1" applyAlignment="1">
      <alignment horizontal="left" vertical="center"/>
    </xf>
    <xf numFmtId="0" fontId="5" fillId="12" borderId="2" xfId="0" applyFont="1" applyFill="1" applyBorder="1" applyAlignment="1">
      <alignment horizontal="left" vertical="center"/>
    </xf>
    <xf numFmtId="0" fontId="49" fillId="2" borderId="2" xfId="0" applyFont="1" applyFill="1" applyBorder="1" applyAlignment="1">
      <alignment horizontal="center" vertical="center"/>
    </xf>
    <xf numFmtId="0" fontId="0" fillId="2" borderId="0" xfId="0" applyFill="1"/>
    <xf numFmtId="0" fontId="37" fillId="4" borderId="2" xfId="0" applyFont="1" applyFill="1" applyBorder="1" applyAlignment="1">
      <alignment horizontal="center" vertical="center"/>
    </xf>
    <xf numFmtId="0" fontId="30" fillId="16" borderId="2" xfId="0" applyFont="1" applyFill="1" applyBorder="1" applyAlignment="1">
      <alignment horizontal="left" vertical="center"/>
    </xf>
    <xf numFmtId="164" fontId="30" fillId="16" borderId="2" xfId="0" applyNumberFormat="1" applyFont="1" applyFill="1" applyBorder="1" applyAlignment="1">
      <alignment horizontal="center" vertical="center"/>
    </xf>
    <xf numFmtId="0" fontId="27" fillId="13" borderId="2" xfId="0" applyFont="1" applyFill="1" applyBorder="1" applyAlignment="1">
      <alignment horizontal="left" vertical="center"/>
    </xf>
    <xf numFmtId="3" fontId="27" fillId="13" borderId="2" xfId="0" applyNumberFormat="1" applyFont="1" applyFill="1" applyBorder="1" applyAlignment="1">
      <alignment horizontal="center" vertical="center"/>
    </xf>
    <xf numFmtId="164" fontId="27" fillId="13" borderId="2" xfId="0" applyNumberFormat="1" applyFont="1" applyFill="1" applyBorder="1" applyAlignment="1">
      <alignment horizontal="center" vertical="center"/>
    </xf>
    <xf numFmtId="0" fontId="58" fillId="7" borderId="2" xfId="0" applyFont="1" applyFill="1" applyBorder="1" applyAlignment="1">
      <alignment horizontal="left" vertical="center"/>
    </xf>
    <xf numFmtId="3" fontId="58" fillId="7" borderId="2" xfId="0" applyNumberFormat="1" applyFont="1" applyFill="1" applyBorder="1" applyAlignment="1">
      <alignment horizontal="center" vertical="center"/>
    </xf>
    <xf numFmtId="164" fontId="58" fillId="7" borderId="2" xfId="0" applyNumberFormat="1" applyFont="1" applyFill="1" applyBorder="1" applyAlignment="1">
      <alignment horizontal="center" vertical="center"/>
    </xf>
    <xf numFmtId="3" fontId="20" fillId="12" borderId="2" xfId="0" applyNumberFormat="1" applyFont="1" applyFill="1" applyBorder="1" applyAlignment="1">
      <alignment horizontal="center" vertical="center"/>
    </xf>
    <xf numFmtId="164" fontId="6" fillId="12" borderId="2" xfId="0" applyNumberFormat="1" applyFont="1" applyFill="1" applyBorder="1" applyAlignment="1">
      <alignment horizontal="center" vertical="center"/>
    </xf>
    <xf numFmtId="3" fontId="57" fillId="9" borderId="2" xfId="0" applyNumberFormat="1" applyFont="1" applyFill="1" applyBorder="1" applyAlignment="1">
      <alignment horizontal="center" vertical="center"/>
    </xf>
    <xf numFmtId="3" fontId="20" fillId="13" borderId="2" xfId="0" applyNumberFormat="1" applyFont="1" applyFill="1" applyBorder="1" applyAlignment="1">
      <alignment horizontal="center" vertical="center"/>
    </xf>
    <xf numFmtId="164" fontId="6" fillId="13" borderId="2" xfId="0" applyNumberFormat="1" applyFont="1" applyFill="1" applyBorder="1" applyAlignment="1">
      <alignment horizontal="center" vertical="center"/>
    </xf>
    <xf numFmtId="3" fontId="20" fillId="7" borderId="2" xfId="0" applyNumberFormat="1" applyFont="1" applyFill="1" applyBorder="1" applyAlignment="1">
      <alignment horizontal="center" vertical="center"/>
    </xf>
    <xf numFmtId="164" fontId="6" fillId="7" borderId="2" xfId="0" applyNumberFormat="1" applyFont="1" applyFill="1" applyBorder="1" applyAlignment="1">
      <alignment horizontal="center" vertical="center"/>
    </xf>
    <xf numFmtId="3" fontId="20" fillId="10" borderId="2" xfId="0" applyNumberFormat="1" applyFont="1" applyFill="1" applyBorder="1" applyAlignment="1">
      <alignment horizontal="center" vertical="center"/>
    </xf>
    <xf numFmtId="164" fontId="6" fillId="10" borderId="2" xfId="0" applyNumberFormat="1" applyFont="1" applyFill="1" applyBorder="1" applyAlignment="1">
      <alignment horizontal="center" vertical="center"/>
    </xf>
    <xf numFmtId="3" fontId="3" fillId="9" borderId="0" xfId="0" applyNumberFormat="1" applyFont="1" applyFill="1" applyAlignment="1">
      <alignment horizontal="center" vertical="center"/>
    </xf>
    <xf numFmtId="3" fontId="3" fillId="24" borderId="0" xfId="0" applyNumberFormat="1" applyFont="1" applyFill="1" applyAlignment="1">
      <alignment horizontal="center" vertical="center"/>
    </xf>
    <xf numFmtId="3" fontId="11" fillId="3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left" vertical="center"/>
    </xf>
    <xf numFmtId="0" fontId="0" fillId="0" borderId="0" xfId="0"/>
    <xf numFmtId="0" fontId="4" fillId="5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left" vertical="center"/>
    </xf>
    <xf numFmtId="0" fontId="7" fillId="10" borderId="0" xfId="0" applyFont="1" applyFill="1" applyAlignment="1">
      <alignment horizontal="left" vertical="center"/>
    </xf>
    <xf numFmtId="0" fontId="5" fillId="7" borderId="0" xfId="0" applyFont="1" applyFill="1" applyAlignment="1">
      <alignment horizontal="left" vertical="center"/>
    </xf>
    <xf numFmtId="0" fontId="6" fillId="8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11" fillId="3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2" fillId="26" borderId="0" xfId="0" applyFont="1" applyFill="1" applyAlignment="1">
      <alignment horizontal="center" vertical="center"/>
    </xf>
    <xf numFmtId="0" fontId="0" fillId="3" borderId="0" xfId="0" applyFill="1"/>
    <xf numFmtId="3" fontId="32" fillId="16" borderId="0" xfId="0" applyNumberFormat="1" applyFont="1" applyFill="1" applyAlignment="1">
      <alignment horizontal="right" vertical="center"/>
    </xf>
    <xf numFmtId="0" fontId="29" fillId="16" borderId="0" xfId="0" applyFont="1" applyFill="1" applyAlignment="1">
      <alignment horizontal="center" vertical="center"/>
    </xf>
    <xf numFmtId="3" fontId="31" fillId="10" borderId="0" xfId="0" applyNumberFormat="1" applyFont="1" applyFill="1" applyAlignment="1">
      <alignment horizontal="right" vertical="center"/>
    </xf>
    <xf numFmtId="0" fontId="7" fillId="10" borderId="0" xfId="0" applyFont="1" applyFill="1" applyAlignment="1">
      <alignment horizontal="center" vertical="center"/>
    </xf>
    <xf numFmtId="3" fontId="34" fillId="13" borderId="0" xfId="0" applyNumberFormat="1" applyFont="1" applyFill="1" applyAlignment="1">
      <alignment horizontal="right" vertical="center"/>
    </xf>
    <xf numFmtId="0" fontId="17" fillId="13" borderId="0" xfId="0" applyFont="1" applyFill="1" applyAlignment="1">
      <alignment horizontal="center" vertical="center"/>
    </xf>
    <xf numFmtId="3" fontId="33" fillId="7" borderId="0" xfId="0" applyNumberFormat="1" applyFont="1" applyFill="1" applyAlignment="1">
      <alignment horizontal="right" vertical="center"/>
    </xf>
    <xf numFmtId="0" fontId="12" fillId="9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left" vertical="center"/>
    </xf>
    <xf numFmtId="0" fontId="12" fillId="24" borderId="0" xfId="0" applyFont="1" applyFill="1" applyAlignment="1">
      <alignment horizontal="center" vertical="center"/>
    </xf>
    <xf numFmtId="0" fontId="19" fillId="34" borderId="0" xfId="0" applyFont="1" applyFill="1" applyAlignment="1">
      <alignment horizontal="left" vertical="center"/>
    </xf>
    <xf numFmtId="0" fontId="19" fillId="2" borderId="0" xfId="0" applyFont="1" applyFill="1" applyAlignment="1">
      <alignment horizontal="left" vertical="center"/>
    </xf>
    <xf numFmtId="0" fontId="3" fillId="34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left" vertical="center"/>
    </xf>
    <xf numFmtId="0" fontId="3" fillId="31" borderId="0" xfId="0" applyFont="1" applyFill="1" applyAlignment="1">
      <alignment horizontal="center" vertical="center"/>
    </xf>
    <xf numFmtId="0" fontId="19" fillId="32" borderId="0" xfId="0" applyFont="1" applyFill="1" applyAlignment="1">
      <alignment horizontal="left" vertical="center"/>
    </xf>
    <xf numFmtId="0" fontId="36" fillId="2" borderId="0" xfId="0" applyFont="1" applyFill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left" vertical="center"/>
    </xf>
    <xf numFmtId="0" fontId="19" fillId="31" borderId="0" xfId="0" applyFont="1" applyFill="1" applyAlignment="1">
      <alignment horizontal="left" vertical="center"/>
    </xf>
    <xf numFmtId="0" fontId="3" fillId="32" borderId="0" xfId="0" applyFont="1" applyFill="1" applyAlignment="1">
      <alignment horizontal="center" vertical="center"/>
    </xf>
    <xf numFmtId="0" fontId="46" fillId="11" borderId="0" xfId="0" applyFont="1" applyFill="1" applyAlignment="1">
      <alignment horizontal="center" vertical="center"/>
    </xf>
    <xf numFmtId="0" fontId="18" fillId="10" borderId="2" xfId="0" applyFont="1" applyFill="1" applyBorder="1" applyAlignment="1">
      <alignment horizontal="left" vertical="center"/>
    </xf>
    <xf numFmtId="0" fontId="15" fillId="8" borderId="2" xfId="0" applyFont="1" applyFill="1" applyBorder="1" applyAlignment="1">
      <alignment horizontal="left" vertical="center"/>
    </xf>
    <xf numFmtId="0" fontId="48" fillId="4" borderId="0" xfId="0" applyFont="1" applyFill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43" fillId="6" borderId="0" xfId="0" applyFont="1" applyFill="1" applyAlignment="1">
      <alignment horizontal="center" vertical="center"/>
    </xf>
    <xf numFmtId="0" fontId="0" fillId="10" borderId="0" xfId="0" applyFill="1"/>
    <xf numFmtId="0" fontId="0" fillId="7" borderId="0" xfId="0" applyFill="1"/>
    <xf numFmtId="0" fontId="27" fillId="13" borderId="2" xfId="0" applyFont="1" applyFill="1" applyBorder="1" applyAlignment="1">
      <alignment horizontal="right" vertical="center"/>
    </xf>
    <xf numFmtId="165" fontId="51" fillId="10" borderId="0" xfId="0" applyNumberFormat="1" applyFont="1" applyFill="1" applyAlignment="1">
      <alignment horizontal="center" vertical="center"/>
    </xf>
    <xf numFmtId="165" fontId="53" fillId="7" borderId="0" xfId="0" applyNumberFormat="1" applyFont="1" applyFill="1" applyAlignment="1">
      <alignment horizontal="center" vertical="center"/>
    </xf>
    <xf numFmtId="0" fontId="42" fillId="10" borderId="0" xfId="0" applyFont="1" applyFill="1" applyAlignment="1">
      <alignment horizontal="center" vertical="center"/>
    </xf>
    <xf numFmtId="3" fontId="61" fillId="13" borderId="2" xfId="0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3" fontId="60" fillId="10" borderId="2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1" fillId="13" borderId="0" xfId="0" applyFont="1" applyFill="1" applyAlignment="1">
      <alignment horizontal="center" vertical="center"/>
    </xf>
    <xf numFmtId="0" fontId="55" fillId="16" borderId="0" xfId="0" applyFont="1" applyFill="1" applyAlignment="1">
      <alignment horizontal="center" vertical="center"/>
    </xf>
    <xf numFmtId="0" fontId="36" fillId="9" borderId="0" xfId="0" applyFont="1" applyFill="1" applyAlignment="1">
      <alignment horizontal="center" vertical="center"/>
    </xf>
    <xf numFmtId="0" fontId="0" fillId="13" borderId="0" xfId="0" applyFill="1"/>
    <xf numFmtId="3" fontId="62" fillId="3" borderId="3" xfId="0" applyNumberFormat="1" applyFont="1" applyFill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16" borderId="0" xfId="0" applyFill="1"/>
    <xf numFmtId="0" fontId="59" fillId="2" borderId="0" xfId="0" applyFont="1" applyFill="1" applyAlignment="1">
      <alignment horizontal="center" vertical="center"/>
    </xf>
    <xf numFmtId="165" fontId="50" fillId="3" borderId="0" xfId="0" applyNumberFormat="1" applyFont="1" applyFill="1" applyAlignment="1">
      <alignment horizontal="center" vertical="center"/>
    </xf>
    <xf numFmtId="165" fontId="54" fillId="13" borderId="0" xfId="0" applyNumberFormat="1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28" fillId="10" borderId="2" xfId="0" applyFont="1" applyFill="1" applyBorder="1" applyAlignment="1">
      <alignment horizontal="right" vertical="center"/>
    </xf>
    <xf numFmtId="0" fontId="52" fillId="7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D4AC0D"/>
  </sheetPr>
  <dimension ref="B1:K35"/>
  <sheetViews>
    <sheetView showGridLines="0" showRowColHeaders="0" tabSelected="1" topLeftCell="A4" zoomScale="85" zoomScaleNormal="85" workbookViewId="0"/>
  </sheetViews>
  <sheetFormatPr defaultRowHeight="15" x14ac:dyDescent="0.25"/>
  <cols>
    <col min="1" max="1" width="3" customWidth="1"/>
    <col min="2" max="11" width="14" customWidth="1"/>
  </cols>
  <sheetData>
    <row r="1" spans="2:11" ht="20.100000000000001" customHeight="1" x14ac:dyDescent="0.25"/>
    <row r="2" spans="2:11" x14ac:dyDescent="0.25">
      <c r="B2" s="216" t="s">
        <v>0</v>
      </c>
      <c r="C2" s="207"/>
      <c r="D2" s="207"/>
      <c r="E2" s="207"/>
      <c r="F2" s="207"/>
      <c r="G2" s="207"/>
      <c r="H2" s="207"/>
      <c r="I2" s="207"/>
      <c r="J2" s="207"/>
      <c r="K2" s="207"/>
    </row>
    <row r="3" spans="2:11" x14ac:dyDescent="0.25">
      <c r="B3" s="207"/>
      <c r="C3" s="207"/>
      <c r="D3" s="207"/>
      <c r="E3" s="207"/>
      <c r="F3" s="207"/>
      <c r="G3" s="207"/>
      <c r="H3" s="207"/>
      <c r="I3" s="207"/>
      <c r="J3" s="207"/>
      <c r="K3" s="207"/>
    </row>
    <row r="4" spans="2:11" x14ac:dyDescent="0.25">
      <c r="B4" s="207"/>
      <c r="C4" s="207"/>
      <c r="D4" s="207"/>
      <c r="E4" s="207"/>
      <c r="F4" s="207"/>
      <c r="G4" s="207"/>
      <c r="H4" s="207"/>
      <c r="I4" s="207"/>
      <c r="J4" s="207"/>
      <c r="K4" s="207"/>
    </row>
    <row r="5" spans="2:11" x14ac:dyDescent="0.25">
      <c r="B5" s="207"/>
      <c r="C5" s="207"/>
      <c r="D5" s="207"/>
      <c r="E5" s="207"/>
      <c r="F5" s="207"/>
      <c r="G5" s="207"/>
      <c r="H5" s="207"/>
      <c r="I5" s="207"/>
      <c r="J5" s="207"/>
      <c r="K5" s="207"/>
    </row>
    <row r="6" spans="2:11" x14ac:dyDescent="0.25">
      <c r="B6" s="207"/>
      <c r="C6" s="207"/>
      <c r="D6" s="207"/>
      <c r="E6" s="207"/>
      <c r="F6" s="207"/>
      <c r="G6" s="207"/>
      <c r="H6" s="207"/>
      <c r="I6" s="207"/>
      <c r="J6" s="207"/>
      <c r="K6" s="207"/>
    </row>
    <row r="7" spans="2:11" x14ac:dyDescent="0.25">
      <c r="B7" s="207"/>
      <c r="C7" s="207"/>
      <c r="D7" s="207"/>
      <c r="E7" s="207"/>
      <c r="F7" s="207"/>
      <c r="G7" s="207"/>
      <c r="H7" s="207"/>
      <c r="I7" s="207"/>
      <c r="J7" s="207"/>
      <c r="K7" s="207"/>
    </row>
    <row r="8" spans="2:11" x14ac:dyDescent="0.25">
      <c r="B8" s="207"/>
      <c r="C8" s="207"/>
      <c r="D8" s="207"/>
      <c r="E8" s="207"/>
      <c r="F8" s="207"/>
      <c r="G8" s="207"/>
      <c r="H8" s="207"/>
      <c r="I8" s="207"/>
      <c r="J8" s="207"/>
      <c r="K8" s="207"/>
    </row>
    <row r="9" spans="2:11" x14ac:dyDescent="0.25">
      <c r="B9" s="207"/>
      <c r="C9" s="207"/>
      <c r="D9" s="207"/>
      <c r="E9" s="207"/>
      <c r="F9" s="207"/>
      <c r="G9" s="207"/>
      <c r="H9" s="207"/>
      <c r="I9" s="207"/>
      <c r="J9" s="207"/>
      <c r="K9" s="207"/>
    </row>
    <row r="10" spans="2:11" x14ac:dyDescent="0.25">
      <c r="B10" s="207"/>
      <c r="C10" s="207"/>
      <c r="D10" s="207"/>
      <c r="E10" s="207"/>
      <c r="F10" s="207"/>
      <c r="G10" s="207"/>
      <c r="H10" s="207"/>
      <c r="I10" s="207"/>
      <c r="J10" s="207"/>
      <c r="K10" s="207"/>
    </row>
    <row r="11" spans="2:11" x14ac:dyDescent="0.25">
      <c r="B11" s="207"/>
      <c r="C11" s="207"/>
      <c r="D11" s="207"/>
      <c r="E11" s="207"/>
      <c r="F11" s="207"/>
      <c r="G11" s="207"/>
      <c r="H11" s="207"/>
      <c r="I11" s="207"/>
      <c r="J11" s="207"/>
      <c r="K11" s="207"/>
    </row>
    <row r="12" spans="2:11" ht="6" customHeight="1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2:11" ht="24" customHeight="1" x14ac:dyDescent="0.25">
      <c r="B13" s="217" t="s">
        <v>1</v>
      </c>
      <c r="C13" s="207"/>
      <c r="D13" s="207"/>
      <c r="E13" s="207"/>
      <c r="F13" s="207"/>
      <c r="G13" s="207"/>
      <c r="H13" s="207"/>
      <c r="I13" s="207"/>
      <c r="J13" s="207"/>
      <c r="K13" s="207"/>
    </row>
    <row r="14" spans="2:11" ht="12" customHeight="1" x14ac:dyDescent="0.25"/>
    <row r="15" spans="2:11" ht="30" customHeight="1" x14ac:dyDescent="0.25">
      <c r="B15" s="213" t="s">
        <v>2</v>
      </c>
      <c r="C15" s="207"/>
      <c r="D15" s="213" t="s">
        <v>3</v>
      </c>
      <c r="E15" s="207"/>
      <c r="F15" s="213" t="s">
        <v>4</v>
      </c>
      <c r="G15" s="207"/>
      <c r="H15" s="213" t="s">
        <v>5</v>
      </c>
      <c r="I15" s="207"/>
      <c r="J15" s="213" t="s">
        <v>6</v>
      </c>
      <c r="K15" s="207"/>
    </row>
    <row r="16" spans="2:11" ht="30" customHeight="1" x14ac:dyDescent="0.25">
      <c r="B16" s="208" t="s">
        <v>7</v>
      </c>
      <c r="C16" s="207"/>
      <c r="D16" s="208" t="s">
        <v>8</v>
      </c>
      <c r="E16" s="207"/>
      <c r="F16" s="208" t="s">
        <v>9</v>
      </c>
      <c r="G16" s="207"/>
      <c r="H16" s="208" t="s">
        <v>10</v>
      </c>
      <c r="I16" s="207"/>
      <c r="J16" s="208" t="s">
        <v>11</v>
      </c>
      <c r="K16" s="207"/>
    </row>
    <row r="17" spans="2:11" ht="39.950000000000003" customHeight="1" x14ac:dyDescent="0.25">
      <c r="B17" s="207"/>
      <c r="C17" s="207"/>
      <c r="D17" s="207"/>
      <c r="E17" s="207"/>
      <c r="F17" s="207"/>
      <c r="G17" s="207"/>
      <c r="H17" s="207"/>
      <c r="I17" s="207"/>
      <c r="J17" s="207"/>
      <c r="K17" s="207"/>
    </row>
    <row r="18" spans="2:11" ht="12" customHeight="1" x14ac:dyDescent="0.25"/>
    <row r="19" spans="2:11" ht="21.95" customHeight="1" x14ac:dyDescent="0.25">
      <c r="B19" s="218" t="s">
        <v>12</v>
      </c>
      <c r="C19" s="207"/>
      <c r="D19" s="207"/>
      <c r="E19" s="207"/>
      <c r="F19" s="207"/>
      <c r="G19" s="207"/>
      <c r="H19" s="207"/>
      <c r="I19" s="207"/>
      <c r="J19" s="207"/>
      <c r="K19" s="207"/>
    </row>
    <row r="20" spans="2:11" ht="20.100000000000001" customHeight="1" x14ac:dyDescent="0.25">
      <c r="B20" s="211" t="s">
        <v>13</v>
      </c>
      <c r="C20" s="207"/>
      <c r="D20" s="206" t="s">
        <v>14</v>
      </c>
      <c r="E20" s="207"/>
      <c r="F20" s="207"/>
      <c r="G20" s="207"/>
      <c r="H20" s="207"/>
      <c r="I20" s="207"/>
      <c r="J20" s="207"/>
      <c r="K20" s="207"/>
    </row>
    <row r="21" spans="2:11" ht="20.100000000000001" customHeight="1" x14ac:dyDescent="0.25">
      <c r="B21" s="209" t="s">
        <v>15</v>
      </c>
      <c r="C21" s="207"/>
      <c r="D21" s="212" t="s">
        <v>16</v>
      </c>
      <c r="E21" s="207"/>
      <c r="F21" s="207"/>
      <c r="G21" s="207"/>
      <c r="H21" s="207"/>
      <c r="I21" s="207"/>
      <c r="J21" s="207"/>
      <c r="K21" s="207"/>
    </row>
    <row r="22" spans="2:11" ht="20.100000000000001" customHeight="1" x14ac:dyDescent="0.25">
      <c r="B22" s="211" t="s">
        <v>17</v>
      </c>
      <c r="C22" s="207"/>
      <c r="D22" s="206" t="s">
        <v>18</v>
      </c>
      <c r="E22" s="207"/>
      <c r="F22" s="207"/>
      <c r="G22" s="207"/>
      <c r="H22" s="207"/>
      <c r="I22" s="207"/>
      <c r="J22" s="207"/>
      <c r="K22" s="207"/>
    </row>
    <row r="23" spans="2:11" ht="20.100000000000001" customHeight="1" x14ac:dyDescent="0.25">
      <c r="B23" s="209" t="s">
        <v>19</v>
      </c>
      <c r="C23" s="207"/>
      <c r="D23" s="212" t="s">
        <v>20</v>
      </c>
      <c r="E23" s="207"/>
      <c r="F23" s="207"/>
      <c r="G23" s="207"/>
      <c r="H23" s="207"/>
      <c r="I23" s="207"/>
      <c r="J23" s="207"/>
      <c r="K23" s="207"/>
    </row>
    <row r="24" spans="2:11" ht="20.100000000000001" customHeight="1" x14ac:dyDescent="0.25">
      <c r="B24" s="211" t="s">
        <v>21</v>
      </c>
      <c r="C24" s="207"/>
      <c r="D24" s="206" t="s">
        <v>22</v>
      </c>
      <c r="E24" s="207"/>
      <c r="F24" s="207"/>
      <c r="G24" s="207"/>
      <c r="H24" s="207"/>
      <c r="I24" s="207"/>
      <c r="J24" s="207"/>
      <c r="K24" s="207"/>
    </row>
    <row r="25" spans="2:11" ht="20.100000000000001" customHeight="1" x14ac:dyDescent="0.25">
      <c r="B25" s="209" t="s">
        <v>23</v>
      </c>
      <c r="C25" s="207"/>
      <c r="D25" s="212" t="s">
        <v>24</v>
      </c>
      <c r="E25" s="207"/>
      <c r="F25" s="207"/>
      <c r="G25" s="207"/>
      <c r="H25" s="207"/>
      <c r="I25" s="207"/>
      <c r="J25" s="207"/>
      <c r="K25" s="207"/>
    </row>
    <row r="27" spans="2:11" ht="21.95" customHeight="1" x14ac:dyDescent="0.25">
      <c r="B27" s="215" t="s">
        <v>25</v>
      </c>
      <c r="C27" s="207"/>
      <c r="D27" s="207"/>
      <c r="E27" s="207"/>
      <c r="F27" s="207"/>
      <c r="G27" s="207"/>
      <c r="H27" s="207"/>
      <c r="I27" s="207"/>
      <c r="J27" s="207"/>
      <c r="K27" s="207"/>
    </row>
    <row r="28" spans="2:11" ht="18" customHeight="1" x14ac:dyDescent="0.25">
      <c r="B28" s="210" t="s">
        <v>26</v>
      </c>
      <c r="C28" s="207"/>
      <c r="D28" s="207"/>
      <c r="E28" s="207"/>
      <c r="F28" s="207"/>
      <c r="G28" s="207"/>
      <c r="H28" s="207"/>
      <c r="I28" s="207"/>
      <c r="J28" s="207"/>
      <c r="K28" s="207"/>
    </row>
    <row r="29" spans="2:11" ht="18" customHeight="1" x14ac:dyDescent="0.25">
      <c r="B29" s="212" t="s">
        <v>27</v>
      </c>
      <c r="C29" s="207"/>
      <c r="D29" s="207"/>
      <c r="E29" s="207"/>
      <c r="F29" s="207"/>
      <c r="G29" s="207"/>
      <c r="H29" s="207"/>
      <c r="I29" s="207"/>
      <c r="J29" s="207"/>
      <c r="K29" s="207"/>
    </row>
    <row r="30" spans="2:11" ht="18" customHeight="1" x14ac:dyDescent="0.25">
      <c r="B30" s="210" t="s">
        <v>28</v>
      </c>
      <c r="C30" s="207"/>
      <c r="D30" s="207"/>
      <c r="E30" s="207"/>
      <c r="F30" s="207"/>
      <c r="G30" s="207"/>
      <c r="H30" s="207"/>
      <c r="I30" s="207"/>
      <c r="J30" s="207"/>
      <c r="K30" s="207"/>
    </row>
    <row r="31" spans="2:11" ht="18" customHeight="1" x14ac:dyDescent="0.25">
      <c r="B31" s="212" t="s">
        <v>29</v>
      </c>
      <c r="C31" s="207"/>
      <c r="D31" s="207"/>
      <c r="E31" s="207"/>
      <c r="F31" s="207"/>
      <c r="G31" s="207"/>
      <c r="H31" s="207"/>
      <c r="I31" s="207"/>
      <c r="J31" s="207"/>
      <c r="K31" s="207"/>
    </row>
    <row r="32" spans="2:11" ht="18" customHeight="1" x14ac:dyDescent="0.25">
      <c r="B32" s="210" t="s">
        <v>30</v>
      </c>
      <c r="C32" s="207"/>
      <c r="D32" s="207"/>
      <c r="E32" s="207"/>
      <c r="F32" s="207"/>
      <c r="G32" s="207"/>
      <c r="H32" s="207"/>
      <c r="I32" s="207"/>
      <c r="J32" s="207"/>
      <c r="K32" s="207"/>
    </row>
    <row r="33" spans="2:11" ht="18" customHeight="1" x14ac:dyDescent="0.25">
      <c r="B33" s="212" t="s">
        <v>31</v>
      </c>
      <c r="C33" s="207"/>
      <c r="D33" s="207"/>
      <c r="E33" s="207"/>
      <c r="F33" s="207"/>
      <c r="G33" s="207"/>
      <c r="H33" s="207"/>
      <c r="I33" s="207"/>
      <c r="J33" s="207"/>
      <c r="K33" s="207"/>
    </row>
    <row r="35" spans="2:11" ht="21.95" customHeight="1" x14ac:dyDescent="0.25">
      <c r="B35" s="214" t="s">
        <v>32</v>
      </c>
      <c r="C35" s="207"/>
      <c r="D35" s="207"/>
      <c r="E35" s="207"/>
      <c r="F35" s="207"/>
      <c r="G35" s="207"/>
      <c r="H35" s="207"/>
      <c r="I35" s="207"/>
      <c r="J35" s="207"/>
      <c r="K35" s="207"/>
    </row>
  </sheetData>
  <mergeCells count="33">
    <mergeCell ref="B2:K11"/>
    <mergeCell ref="B24:C24"/>
    <mergeCell ref="B15:C15"/>
    <mergeCell ref="D25:K25"/>
    <mergeCell ref="D15:E15"/>
    <mergeCell ref="B13:K13"/>
    <mergeCell ref="B20:C20"/>
    <mergeCell ref="H15:I15"/>
    <mergeCell ref="D24:K24"/>
    <mergeCell ref="D23:K23"/>
    <mergeCell ref="B19:K19"/>
    <mergeCell ref="B35:K35"/>
    <mergeCell ref="B23:C23"/>
    <mergeCell ref="B31:K31"/>
    <mergeCell ref="B16:C17"/>
    <mergeCell ref="B27:K27"/>
    <mergeCell ref="F16:G17"/>
    <mergeCell ref="B29:K29"/>
    <mergeCell ref="B28:K28"/>
    <mergeCell ref="B33:K33"/>
    <mergeCell ref="H16:I17"/>
    <mergeCell ref="B21:C21"/>
    <mergeCell ref="D21:K21"/>
    <mergeCell ref="F15:G15"/>
    <mergeCell ref="B32:K32"/>
    <mergeCell ref="J15:K15"/>
    <mergeCell ref="D20:K20"/>
    <mergeCell ref="D16:E17"/>
    <mergeCell ref="B25:C25"/>
    <mergeCell ref="J16:K17"/>
    <mergeCell ref="B30:K30"/>
    <mergeCell ref="B22:C22"/>
    <mergeCell ref="D22:K2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E6B8A"/>
  </sheetPr>
  <dimension ref="A1:R35"/>
  <sheetViews>
    <sheetView showGridLines="0" showRowColHeaders="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18" customWidth="1"/>
    <col min="2" max="2" width="20" customWidth="1"/>
    <col min="3" max="3" width="12" customWidth="1"/>
    <col min="4" max="10" width="11" customWidth="1"/>
    <col min="11" max="11" width="12" customWidth="1"/>
    <col min="12" max="18" width="11" customWidth="1"/>
  </cols>
  <sheetData>
    <row r="1" spans="1:18" ht="32.1" customHeight="1" x14ac:dyDescent="0.25">
      <c r="A1" s="219" t="s">
        <v>33</v>
      </c>
      <c r="B1" s="207"/>
      <c r="C1" s="207"/>
      <c r="D1" s="207"/>
      <c r="E1" s="207"/>
      <c r="F1" s="207"/>
      <c r="G1" s="207"/>
      <c r="H1" s="207"/>
      <c r="I1" s="207"/>
      <c r="J1" s="207"/>
      <c r="K1" s="224" t="s">
        <v>34</v>
      </c>
      <c r="L1" s="207"/>
      <c r="M1" s="207"/>
      <c r="N1" s="207"/>
      <c r="O1" s="225" t="s">
        <v>35</v>
      </c>
      <c r="P1" s="207"/>
      <c r="Q1" s="207"/>
      <c r="R1" s="207"/>
    </row>
    <row r="2" spans="1:18" ht="27.95" customHeight="1" x14ac:dyDescent="0.25">
      <c r="A2" s="4" t="s">
        <v>36</v>
      </c>
      <c r="B2" s="4" t="s">
        <v>37</v>
      </c>
      <c r="C2" s="4" t="s">
        <v>38</v>
      </c>
      <c r="D2" s="4" t="s">
        <v>39</v>
      </c>
      <c r="E2" s="4" t="s">
        <v>40</v>
      </c>
      <c r="F2" s="4" t="s">
        <v>41</v>
      </c>
      <c r="G2" s="4" t="s">
        <v>42</v>
      </c>
      <c r="H2" s="4" t="s">
        <v>43</v>
      </c>
      <c r="I2" s="4" t="s">
        <v>44</v>
      </c>
      <c r="J2" s="4" t="s">
        <v>45</v>
      </c>
      <c r="K2" s="4" t="s">
        <v>46</v>
      </c>
      <c r="L2" s="4" t="s">
        <v>47</v>
      </c>
      <c r="M2" s="4" t="s">
        <v>48</v>
      </c>
      <c r="N2" s="4" t="s">
        <v>49</v>
      </c>
      <c r="O2" s="4" t="s">
        <v>50</v>
      </c>
      <c r="P2" s="4" t="s">
        <v>51</v>
      </c>
      <c r="Q2" s="4" t="s">
        <v>52</v>
      </c>
      <c r="R2" s="4" t="s">
        <v>53</v>
      </c>
    </row>
    <row r="3" spans="1:18" ht="20.100000000000001" customHeight="1" x14ac:dyDescent="0.25">
      <c r="A3" s="220" t="s">
        <v>54</v>
      </c>
      <c r="B3" s="5" t="s">
        <v>55</v>
      </c>
      <c r="C3" s="6">
        <v>8</v>
      </c>
      <c r="D3" s="7"/>
      <c r="E3" s="7"/>
      <c r="F3" s="7"/>
      <c r="G3" s="7"/>
      <c r="H3" s="7"/>
      <c r="I3" s="7"/>
      <c r="J3" s="7"/>
      <c r="K3" s="8">
        <f ca="1">RANDBETWEEN(5,10)</f>
        <v>8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</row>
    <row r="4" spans="1:18" ht="20.100000000000001" customHeight="1" x14ac:dyDescent="0.25">
      <c r="A4" s="207"/>
      <c r="B4" s="10" t="s">
        <v>56</v>
      </c>
      <c r="C4" s="11"/>
      <c r="D4" s="12">
        <v>2</v>
      </c>
      <c r="E4" s="12">
        <v>2</v>
      </c>
      <c r="F4" s="13">
        <v>0</v>
      </c>
      <c r="G4" s="12">
        <v>1</v>
      </c>
      <c r="H4" s="12">
        <v>2</v>
      </c>
      <c r="I4" s="13">
        <v>0</v>
      </c>
      <c r="J4" s="12">
        <v>1</v>
      </c>
      <c r="K4" s="11"/>
      <c r="L4" s="14">
        <f ca="1">LOOKUP(RAND(),{0,0.85,0.98},{0,1,2})</f>
        <v>0</v>
      </c>
      <c r="M4" s="14">
        <f ca="1">LOOKUP(RAND(),{0,0.85,0.98},{0,1,2})</f>
        <v>1</v>
      </c>
      <c r="N4" s="14">
        <f ca="1">LOOKUP(RAND(),{0,0.85,0.98},{0,1,2})</f>
        <v>0</v>
      </c>
      <c r="O4" s="14">
        <f ca="1">LOOKUP(RAND(),{0,0.85,0.98},{0,1,2})</f>
        <v>0</v>
      </c>
      <c r="P4" s="14">
        <f ca="1">LOOKUP(RAND(),{0,0.85,0.98},{0,1,2})</f>
        <v>0</v>
      </c>
      <c r="Q4" s="14">
        <f ca="1">LOOKUP(RAND(),{0,0.85,0.98},{0,1,2})</f>
        <v>0</v>
      </c>
      <c r="R4" s="14">
        <f ca="1">LOOKUP(RAND(),{0,0.85,0.98},{0,1,2})</f>
        <v>0</v>
      </c>
    </row>
    <row r="5" spans="1:18" ht="20.100000000000001" customHeight="1" x14ac:dyDescent="0.25">
      <c r="A5" s="207"/>
      <c r="B5" s="15" t="s">
        <v>57</v>
      </c>
      <c r="C5" s="16"/>
      <c r="D5" s="17">
        <v>2</v>
      </c>
      <c r="E5" s="17">
        <v>1</v>
      </c>
      <c r="F5" s="13">
        <v>0</v>
      </c>
      <c r="G5" s="17">
        <v>2</v>
      </c>
      <c r="H5" s="17">
        <v>3</v>
      </c>
      <c r="I5" s="17">
        <v>1</v>
      </c>
      <c r="J5" s="17">
        <v>2</v>
      </c>
      <c r="K5" s="16"/>
      <c r="L5" s="18">
        <f t="shared" ref="L5:R5" ca="1" si="0">IF(RAND()&gt;0.8,1,0)</f>
        <v>0</v>
      </c>
      <c r="M5" s="18">
        <f t="shared" ca="1" si="0"/>
        <v>0</v>
      </c>
      <c r="N5" s="18">
        <f t="shared" ca="1" si="0"/>
        <v>0</v>
      </c>
      <c r="O5" s="18">
        <f t="shared" ca="1" si="0"/>
        <v>0</v>
      </c>
      <c r="P5" s="18">
        <f t="shared" ca="1" si="0"/>
        <v>0</v>
      </c>
      <c r="Q5" s="18">
        <f t="shared" ca="1" si="0"/>
        <v>0</v>
      </c>
      <c r="R5" s="18">
        <f t="shared" ca="1" si="0"/>
        <v>0</v>
      </c>
    </row>
    <row r="6" spans="1:18" ht="20.100000000000001" customHeight="1" x14ac:dyDescent="0.25">
      <c r="A6" s="220" t="s">
        <v>58</v>
      </c>
      <c r="B6" s="5" t="s">
        <v>55</v>
      </c>
      <c r="C6" s="6">
        <v>5</v>
      </c>
      <c r="D6" s="7"/>
      <c r="E6" s="7"/>
      <c r="F6" s="7"/>
      <c r="G6" s="7"/>
      <c r="H6" s="7"/>
      <c r="I6" s="7"/>
      <c r="J6" s="7"/>
      <c r="K6" s="8">
        <f ca="1">RANDBETWEEN(3,8)</f>
        <v>4</v>
      </c>
      <c r="L6" s="9">
        <v>0</v>
      </c>
      <c r="M6" s="9">
        <v>0</v>
      </c>
      <c r="N6" s="9">
        <v>0</v>
      </c>
      <c r="O6" s="9">
        <v>0</v>
      </c>
      <c r="P6" s="9">
        <v>0</v>
      </c>
      <c r="Q6" s="9">
        <v>0</v>
      </c>
      <c r="R6" s="9">
        <v>0</v>
      </c>
    </row>
    <row r="7" spans="1:18" ht="20.100000000000001" customHeight="1" x14ac:dyDescent="0.25">
      <c r="A7" s="207"/>
      <c r="B7" s="10" t="s">
        <v>56</v>
      </c>
      <c r="C7" s="11"/>
      <c r="D7" s="12">
        <v>1</v>
      </c>
      <c r="E7" s="12">
        <v>2</v>
      </c>
      <c r="F7" s="13">
        <v>0</v>
      </c>
      <c r="G7" s="12">
        <v>1</v>
      </c>
      <c r="H7" s="13">
        <v>0</v>
      </c>
      <c r="I7" s="13">
        <v>0</v>
      </c>
      <c r="J7" s="12">
        <v>2</v>
      </c>
      <c r="K7" s="11"/>
      <c r="L7" s="14">
        <f ca="1">LOOKUP(RAND(),{0,0.85,0.98},{0,1,2})</f>
        <v>0</v>
      </c>
      <c r="M7" s="14">
        <f ca="1">LOOKUP(RAND(),{0,0.85,0.98},{0,1,2})</f>
        <v>0</v>
      </c>
      <c r="N7" s="14">
        <f ca="1">LOOKUP(RAND(),{0,0.85,0.98},{0,1,2})</f>
        <v>0</v>
      </c>
      <c r="O7" s="14">
        <f ca="1">LOOKUP(RAND(),{0,0.85,0.98},{0,1,2})</f>
        <v>1</v>
      </c>
      <c r="P7" s="14">
        <f ca="1">LOOKUP(RAND(),{0,0.85,0.98},{0,1,2})</f>
        <v>0</v>
      </c>
      <c r="Q7" s="14">
        <f ca="1">LOOKUP(RAND(),{0,0.85,0.98},{0,1,2})</f>
        <v>0</v>
      </c>
      <c r="R7" s="14">
        <f ca="1">LOOKUP(RAND(),{0,0.85,0.98},{0,1,2})</f>
        <v>0</v>
      </c>
    </row>
    <row r="8" spans="1:18" ht="20.100000000000001" customHeight="1" x14ac:dyDescent="0.25">
      <c r="A8" s="207"/>
      <c r="B8" s="15" t="s">
        <v>57</v>
      </c>
      <c r="C8" s="16"/>
      <c r="D8" s="17">
        <v>1</v>
      </c>
      <c r="E8" s="13">
        <v>0</v>
      </c>
      <c r="F8" s="13">
        <v>0</v>
      </c>
      <c r="G8" s="17">
        <v>3</v>
      </c>
      <c r="H8" s="17">
        <v>1</v>
      </c>
      <c r="I8" s="13">
        <v>0</v>
      </c>
      <c r="J8" s="17">
        <v>2</v>
      </c>
      <c r="K8" s="16"/>
      <c r="L8" s="18">
        <f t="shared" ref="L8:R8" ca="1" si="1">IF(RAND()&gt;0.85,1,0)</f>
        <v>0</v>
      </c>
      <c r="M8" s="18">
        <f t="shared" ca="1" si="1"/>
        <v>0</v>
      </c>
      <c r="N8" s="18">
        <f t="shared" ca="1" si="1"/>
        <v>1</v>
      </c>
      <c r="O8" s="18">
        <f t="shared" ca="1" si="1"/>
        <v>1</v>
      </c>
      <c r="P8" s="18">
        <f t="shared" ca="1" si="1"/>
        <v>0</v>
      </c>
      <c r="Q8" s="18">
        <f t="shared" ca="1" si="1"/>
        <v>0</v>
      </c>
      <c r="R8" s="18">
        <f t="shared" ca="1" si="1"/>
        <v>0</v>
      </c>
    </row>
    <row r="9" spans="1:18" ht="20.100000000000001" customHeight="1" x14ac:dyDescent="0.25">
      <c r="A9" s="220" t="s">
        <v>59</v>
      </c>
      <c r="B9" s="5" t="s">
        <v>55</v>
      </c>
      <c r="C9" s="6">
        <v>10</v>
      </c>
      <c r="D9" s="7"/>
      <c r="E9" s="7"/>
      <c r="F9" s="7"/>
      <c r="G9" s="7"/>
      <c r="H9" s="7"/>
      <c r="I9" s="7"/>
      <c r="J9" s="7"/>
      <c r="K9" s="8">
        <f ca="1">RANDBETWEEN(10,20)</f>
        <v>11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</row>
    <row r="10" spans="1:18" ht="20.100000000000001" customHeight="1" x14ac:dyDescent="0.25">
      <c r="A10" s="207"/>
      <c r="B10" s="10" t="s">
        <v>56</v>
      </c>
      <c r="C10" s="11"/>
      <c r="D10" s="13">
        <v>0</v>
      </c>
      <c r="E10" s="12">
        <v>2</v>
      </c>
      <c r="F10" s="12">
        <v>2</v>
      </c>
      <c r="G10" s="13">
        <v>0</v>
      </c>
      <c r="H10" s="12">
        <v>2</v>
      </c>
      <c r="I10" s="12">
        <v>2</v>
      </c>
      <c r="J10" s="13">
        <v>0</v>
      </c>
      <c r="K10" s="11"/>
      <c r="L10" s="14">
        <f ca="1">LOOKUP(RAND(),{0,0.7,0.9},{0,1,2})</f>
        <v>2</v>
      </c>
      <c r="M10" s="14">
        <f ca="1">LOOKUP(RAND(),{0,0.7,0.9},{0,1,2})</f>
        <v>1</v>
      </c>
      <c r="N10" s="14">
        <f ca="1">LOOKUP(RAND(),{0,0.7,0.9},{0,1,2})</f>
        <v>0</v>
      </c>
      <c r="O10" s="14">
        <f ca="1">LOOKUP(RAND(),{0,0.7,0.9},{0,1,2})</f>
        <v>0</v>
      </c>
      <c r="P10" s="14">
        <f ca="1">LOOKUP(RAND(),{0,0.7,0.9},{0,1,2})</f>
        <v>2</v>
      </c>
      <c r="Q10" s="14">
        <f ca="1">LOOKUP(RAND(),{0,0.7,0.9},{0,1,2})</f>
        <v>0</v>
      </c>
      <c r="R10" s="14">
        <f ca="1">LOOKUP(RAND(),{0,0.7,0.9},{0,1,2})</f>
        <v>0</v>
      </c>
    </row>
    <row r="11" spans="1:18" ht="20.100000000000001" customHeight="1" x14ac:dyDescent="0.25">
      <c r="A11" s="207"/>
      <c r="B11" s="15" t="s">
        <v>57</v>
      </c>
      <c r="C11" s="16"/>
      <c r="D11" s="17">
        <v>2</v>
      </c>
      <c r="E11" s="13">
        <v>0</v>
      </c>
      <c r="F11" s="17">
        <v>3</v>
      </c>
      <c r="G11" s="17">
        <v>3</v>
      </c>
      <c r="H11" s="17">
        <v>3</v>
      </c>
      <c r="I11" s="17">
        <v>2</v>
      </c>
      <c r="J11" s="17">
        <v>1</v>
      </c>
      <c r="K11" s="16"/>
      <c r="L11" s="18">
        <f t="shared" ref="L11:R11" ca="1" si="2">IF(RAND()&gt;0.75,1,0)</f>
        <v>0</v>
      </c>
      <c r="M11" s="18">
        <f t="shared" ca="1" si="2"/>
        <v>0</v>
      </c>
      <c r="N11" s="18">
        <f t="shared" ca="1" si="2"/>
        <v>0</v>
      </c>
      <c r="O11" s="18">
        <f t="shared" ca="1" si="2"/>
        <v>0</v>
      </c>
      <c r="P11" s="18">
        <f t="shared" ca="1" si="2"/>
        <v>0</v>
      </c>
      <c r="Q11" s="18">
        <f t="shared" ca="1" si="2"/>
        <v>0</v>
      </c>
      <c r="R11" s="18">
        <f t="shared" ca="1" si="2"/>
        <v>1</v>
      </c>
    </row>
    <row r="12" spans="1:18" ht="20.100000000000001" customHeight="1" x14ac:dyDescent="0.25">
      <c r="A12" s="220" t="s">
        <v>60</v>
      </c>
      <c r="B12" s="5" t="s">
        <v>55</v>
      </c>
      <c r="C12" s="6">
        <v>10</v>
      </c>
      <c r="D12" s="7"/>
      <c r="E12" s="7"/>
      <c r="F12" s="7"/>
      <c r="G12" s="7"/>
      <c r="H12" s="7"/>
      <c r="I12" s="7"/>
      <c r="J12" s="7"/>
      <c r="K12" s="8">
        <f ca="1">RANDBETWEEN(8,15)</f>
        <v>9</v>
      </c>
      <c r="L12" s="9">
        <v>0</v>
      </c>
      <c r="M12" s="9">
        <v>0</v>
      </c>
      <c r="N12" s="9">
        <v>0</v>
      </c>
      <c r="O12" s="9">
        <v>0</v>
      </c>
      <c r="P12" s="9">
        <v>0</v>
      </c>
      <c r="Q12" s="9">
        <v>0</v>
      </c>
      <c r="R12" s="9">
        <v>0</v>
      </c>
    </row>
    <row r="13" spans="1:18" ht="20.100000000000001" customHeight="1" x14ac:dyDescent="0.25">
      <c r="A13" s="207"/>
      <c r="B13" s="10" t="s">
        <v>56</v>
      </c>
      <c r="C13" s="11"/>
      <c r="D13" s="13">
        <v>0</v>
      </c>
      <c r="E13" s="12">
        <v>1</v>
      </c>
      <c r="F13" s="12">
        <v>2</v>
      </c>
      <c r="G13" s="13">
        <v>0</v>
      </c>
      <c r="H13" s="13">
        <v>0</v>
      </c>
      <c r="I13" s="13">
        <v>0</v>
      </c>
      <c r="J13" s="12">
        <v>1</v>
      </c>
      <c r="K13" s="11"/>
      <c r="L13" s="14">
        <f ca="1">LOOKUP(RAND(),{0,0.85,0.98},{0,1,2})</f>
        <v>0</v>
      </c>
      <c r="M13" s="14">
        <f ca="1">LOOKUP(RAND(),{0,0.85,0.98},{0,1,2})</f>
        <v>0</v>
      </c>
      <c r="N13" s="14">
        <f ca="1">LOOKUP(RAND(),{0,0.85,0.98},{0,1,2})</f>
        <v>0</v>
      </c>
      <c r="O13" s="14">
        <f ca="1">LOOKUP(RAND(),{0,0.85,0.98},{0,1,2})</f>
        <v>0</v>
      </c>
      <c r="P13" s="14">
        <f ca="1">LOOKUP(RAND(),{0,0.85,0.98},{0,1,2})</f>
        <v>0</v>
      </c>
      <c r="Q13" s="14">
        <f ca="1">LOOKUP(RAND(),{0,0.85,0.98},{0,1,2})</f>
        <v>1</v>
      </c>
      <c r="R13" s="14">
        <f ca="1">LOOKUP(RAND(),{0,0.85,0.98},{0,1,2})</f>
        <v>0</v>
      </c>
    </row>
    <row r="14" spans="1:18" ht="20.100000000000001" customHeight="1" x14ac:dyDescent="0.25">
      <c r="A14" s="207"/>
      <c r="B14" s="15" t="s">
        <v>57</v>
      </c>
      <c r="C14" s="16"/>
      <c r="D14" s="13">
        <v>0</v>
      </c>
      <c r="E14" s="17">
        <v>2</v>
      </c>
      <c r="F14" s="17">
        <v>1</v>
      </c>
      <c r="G14" s="17">
        <v>1</v>
      </c>
      <c r="H14" s="17">
        <v>3</v>
      </c>
      <c r="I14" s="17">
        <v>3</v>
      </c>
      <c r="J14" s="17">
        <v>2</v>
      </c>
      <c r="K14" s="16"/>
      <c r="L14" s="18">
        <f t="shared" ref="L14:R14" ca="1" si="3">IF(RAND()&gt;0.7,1,0)</f>
        <v>0</v>
      </c>
      <c r="M14" s="18">
        <f t="shared" ca="1" si="3"/>
        <v>0</v>
      </c>
      <c r="N14" s="18">
        <f t="shared" ca="1" si="3"/>
        <v>0</v>
      </c>
      <c r="O14" s="18">
        <f t="shared" ca="1" si="3"/>
        <v>0</v>
      </c>
      <c r="P14" s="18">
        <f t="shared" ca="1" si="3"/>
        <v>1</v>
      </c>
      <c r="Q14" s="18">
        <f t="shared" ca="1" si="3"/>
        <v>0</v>
      </c>
      <c r="R14" s="18">
        <f t="shared" ca="1" si="3"/>
        <v>0</v>
      </c>
    </row>
    <row r="15" spans="1:18" ht="20.100000000000001" customHeight="1" x14ac:dyDescent="0.25">
      <c r="A15" s="220" t="s">
        <v>61</v>
      </c>
      <c r="B15" s="5" t="s">
        <v>55</v>
      </c>
      <c r="C15" s="6">
        <v>9</v>
      </c>
      <c r="D15" s="7"/>
      <c r="E15" s="7"/>
      <c r="F15" s="7"/>
      <c r="G15" s="7"/>
      <c r="H15" s="7"/>
      <c r="I15" s="7"/>
      <c r="J15" s="7"/>
      <c r="K15" s="8">
        <f ca="1">RANDBETWEEN(5,12)</f>
        <v>10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</row>
    <row r="16" spans="1:18" ht="20.100000000000001" customHeight="1" x14ac:dyDescent="0.25">
      <c r="A16" s="207"/>
      <c r="B16" s="10" t="s">
        <v>56</v>
      </c>
      <c r="C16" s="11"/>
      <c r="D16" s="12">
        <v>2</v>
      </c>
      <c r="E16" s="12">
        <v>1</v>
      </c>
      <c r="F16" s="13">
        <v>0</v>
      </c>
      <c r="G16" s="12">
        <v>2</v>
      </c>
      <c r="H16" s="12">
        <v>2</v>
      </c>
      <c r="I16" s="12">
        <v>2</v>
      </c>
      <c r="J16" s="12">
        <v>2</v>
      </c>
      <c r="K16" s="11"/>
      <c r="L16" s="14">
        <f ca="1">LOOKUP(RAND(),{0,0.85,0.98},{0,1,2})</f>
        <v>0</v>
      </c>
      <c r="M16" s="14">
        <f ca="1">LOOKUP(RAND(),{0,0.85,0.98},{0,1,2})</f>
        <v>0</v>
      </c>
      <c r="N16" s="14">
        <f ca="1">LOOKUP(RAND(),{0,0.85,0.98},{0,1,2})</f>
        <v>0</v>
      </c>
      <c r="O16" s="14">
        <f ca="1">LOOKUP(RAND(),{0,0.85,0.98},{0,1,2})</f>
        <v>0</v>
      </c>
      <c r="P16" s="14">
        <f ca="1">LOOKUP(RAND(),{0,0.85,0.98},{0,1,2})</f>
        <v>0</v>
      </c>
      <c r="Q16" s="14">
        <f ca="1">LOOKUP(RAND(),{0,0.85,0.98},{0,1,2})</f>
        <v>0</v>
      </c>
      <c r="R16" s="14">
        <f ca="1">LOOKUP(RAND(),{0,0.85,0.98},{0,1,2})</f>
        <v>0</v>
      </c>
    </row>
    <row r="17" spans="1:18" ht="20.100000000000001" customHeight="1" x14ac:dyDescent="0.25">
      <c r="A17" s="207"/>
      <c r="B17" s="15" t="s">
        <v>57</v>
      </c>
      <c r="C17" s="16"/>
      <c r="D17" s="17">
        <v>2</v>
      </c>
      <c r="E17" s="17">
        <v>1</v>
      </c>
      <c r="F17" s="17">
        <v>1</v>
      </c>
      <c r="G17" s="17">
        <v>3</v>
      </c>
      <c r="H17" s="13">
        <v>0</v>
      </c>
      <c r="I17" s="17">
        <v>2</v>
      </c>
      <c r="J17" s="17">
        <v>3</v>
      </c>
      <c r="K17" s="16"/>
      <c r="L17" s="18">
        <f t="shared" ref="L17:R17" ca="1" si="4">IF(RAND()&gt;0.8,1,0)</f>
        <v>1</v>
      </c>
      <c r="M17" s="18">
        <f t="shared" ca="1" si="4"/>
        <v>1</v>
      </c>
      <c r="N17" s="18">
        <f t="shared" ca="1" si="4"/>
        <v>0</v>
      </c>
      <c r="O17" s="18">
        <f t="shared" ca="1" si="4"/>
        <v>0</v>
      </c>
      <c r="P17" s="18">
        <f t="shared" ca="1" si="4"/>
        <v>0</v>
      </c>
      <c r="Q17" s="18">
        <f t="shared" ca="1" si="4"/>
        <v>0</v>
      </c>
      <c r="R17" s="18">
        <f t="shared" ca="1" si="4"/>
        <v>0</v>
      </c>
    </row>
    <row r="18" spans="1:18" ht="24" customHeight="1" x14ac:dyDescent="0.25">
      <c r="A18" s="223" t="s">
        <v>62</v>
      </c>
      <c r="B18" s="207"/>
      <c r="C18" s="19">
        <f t="shared" ref="C18:R18" si="5">SUM(C3:C17)</f>
        <v>42</v>
      </c>
      <c r="D18" s="20">
        <f t="shared" si="5"/>
        <v>12</v>
      </c>
      <c r="E18" s="20">
        <f t="shared" si="5"/>
        <v>12</v>
      </c>
      <c r="F18" s="20">
        <f t="shared" si="5"/>
        <v>9</v>
      </c>
      <c r="G18" s="20">
        <f t="shared" si="5"/>
        <v>16</v>
      </c>
      <c r="H18" s="20">
        <f t="shared" si="5"/>
        <v>16</v>
      </c>
      <c r="I18" s="20">
        <f t="shared" si="5"/>
        <v>12</v>
      </c>
      <c r="J18" s="20">
        <f t="shared" si="5"/>
        <v>16</v>
      </c>
      <c r="K18" s="20">
        <f t="shared" ca="1" si="5"/>
        <v>42</v>
      </c>
      <c r="L18" s="20">
        <f t="shared" ca="1" si="5"/>
        <v>3</v>
      </c>
      <c r="M18" s="20">
        <f t="shared" ca="1" si="5"/>
        <v>3</v>
      </c>
      <c r="N18" s="20">
        <f t="shared" ca="1" si="5"/>
        <v>1</v>
      </c>
      <c r="O18" s="20">
        <f t="shared" ca="1" si="5"/>
        <v>2</v>
      </c>
      <c r="P18" s="20">
        <f t="shared" ca="1" si="5"/>
        <v>3</v>
      </c>
      <c r="Q18" s="20">
        <f t="shared" ca="1" si="5"/>
        <v>1</v>
      </c>
      <c r="R18" s="20">
        <f t="shared" ca="1" si="5"/>
        <v>1</v>
      </c>
    </row>
    <row r="19" spans="1:18" ht="9.9499999999999993" customHeight="1" x14ac:dyDescent="0.25"/>
    <row r="20" spans="1:18" ht="26.1" customHeight="1" x14ac:dyDescent="0.25">
      <c r="A20" s="221" t="s">
        <v>63</v>
      </c>
      <c r="B20" s="207"/>
      <c r="C20" s="207"/>
      <c r="D20" s="207"/>
      <c r="E20" s="207"/>
      <c r="F20" s="207"/>
      <c r="G20" s="207"/>
      <c r="H20" s="207"/>
      <c r="I20" s="207"/>
      <c r="J20" s="207"/>
      <c r="K20" s="207"/>
    </row>
    <row r="21" spans="1:18" ht="21.95" customHeight="1" x14ac:dyDescent="0.25">
      <c r="A21" s="21" t="s">
        <v>64</v>
      </c>
      <c r="B21" s="21" t="s">
        <v>65</v>
      </c>
      <c r="C21" s="21" t="s">
        <v>66</v>
      </c>
      <c r="D21" s="21" t="s">
        <v>67</v>
      </c>
      <c r="E21" s="21" t="s">
        <v>68</v>
      </c>
      <c r="F21" s="21" t="s">
        <v>69</v>
      </c>
    </row>
    <row r="22" spans="1:18" ht="20.100000000000001" customHeight="1" x14ac:dyDescent="0.25">
      <c r="A22" s="22" t="s">
        <v>70</v>
      </c>
      <c r="B22" s="23">
        <v>15</v>
      </c>
      <c r="C22" s="24">
        <v>18000</v>
      </c>
      <c r="D22" s="24">
        <v>10000</v>
      </c>
      <c r="E22" s="24">
        <v>8000</v>
      </c>
      <c r="F22" s="23" t="s">
        <v>71</v>
      </c>
    </row>
    <row r="23" spans="1:18" ht="20.100000000000001" customHeight="1" x14ac:dyDescent="0.25">
      <c r="A23" s="25" t="s">
        <v>72</v>
      </c>
      <c r="B23" s="26">
        <v>20</v>
      </c>
      <c r="C23" s="27">
        <v>15000</v>
      </c>
      <c r="D23" s="27">
        <v>6000</v>
      </c>
      <c r="E23" s="27">
        <v>9000</v>
      </c>
      <c r="F23" s="26" t="s">
        <v>73</v>
      </c>
    </row>
    <row r="24" spans="1:18" ht="20.100000000000001" customHeight="1" x14ac:dyDescent="0.25">
      <c r="A24" s="28" t="s">
        <v>74</v>
      </c>
      <c r="B24" s="29">
        <v>30</v>
      </c>
      <c r="C24" s="30">
        <v>8000</v>
      </c>
      <c r="D24" s="30">
        <v>3500</v>
      </c>
      <c r="E24" s="30">
        <v>4500</v>
      </c>
      <c r="F24" s="29" t="s">
        <v>75</v>
      </c>
    </row>
    <row r="25" spans="1:18" ht="20.100000000000001" customHeight="1" x14ac:dyDescent="0.25">
      <c r="A25" s="31" t="s">
        <v>76</v>
      </c>
      <c r="B25" s="7">
        <v>50</v>
      </c>
      <c r="C25" s="32">
        <v>3000</v>
      </c>
      <c r="D25" s="32">
        <v>1500</v>
      </c>
      <c r="E25" s="32">
        <v>1500</v>
      </c>
      <c r="F25" s="7" t="s">
        <v>77</v>
      </c>
    </row>
    <row r="26" spans="1:18" ht="9.9499999999999993" customHeight="1" x14ac:dyDescent="0.25"/>
    <row r="27" spans="1:18" ht="26.1" customHeight="1" x14ac:dyDescent="0.25">
      <c r="A27" s="221" t="s">
        <v>78</v>
      </c>
      <c r="B27" s="207"/>
      <c r="C27" s="207"/>
      <c r="D27" s="207"/>
      <c r="E27" s="207"/>
      <c r="F27" s="207"/>
      <c r="G27" s="222" t="s">
        <v>79</v>
      </c>
      <c r="H27" s="207"/>
      <c r="I27" s="207"/>
      <c r="J27" s="207"/>
      <c r="K27" s="207"/>
      <c r="L27" s="207"/>
      <c r="M27" s="207"/>
      <c r="N27" s="207"/>
      <c r="O27" s="207"/>
      <c r="P27" s="207"/>
      <c r="Q27" s="207"/>
      <c r="R27" s="207"/>
    </row>
    <row r="28" spans="1:18" ht="21.95" customHeight="1" x14ac:dyDescent="0.25">
      <c r="A28" s="33" t="s">
        <v>80</v>
      </c>
      <c r="B28" s="33" t="s">
        <v>81</v>
      </c>
      <c r="C28" s="33" t="s">
        <v>82</v>
      </c>
      <c r="D28" s="33" t="s">
        <v>83</v>
      </c>
      <c r="E28" s="33" t="s">
        <v>84</v>
      </c>
      <c r="G28" s="21" t="s">
        <v>85</v>
      </c>
      <c r="H28" s="21" t="s">
        <v>86</v>
      </c>
      <c r="I28" s="21" t="s">
        <v>87</v>
      </c>
      <c r="J28" s="21" t="s">
        <v>88</v>
      </c>
      <c r="K28" s="21" t="s">
        <v>89</v>
      </c>
      <c r="L28" s="21" t="s">
        <v>90</v>
      </c>
      <c r="M28" s="21" t="s">
        <v>91</v>
      </c>
      <c r="N28" s="21" t="s">
        <v>92</v>
      </c>
      <c r="O28" s="21" t="s">
        <v>93</v>
      </c>
      <c r="P28" s="21" t="s">
        <v>94</v>
      </c>
      <c r="Q28" s="21" t="s">
        <v>95</v>
      </c>
    </row>
    <row r="29" spans="1:18" ht="20.100000000000001" customHeight="1" x14ac:dyDescent="0.25">
      <c r="A29" s="25" t="s">
        <v>96</v>
      </c>
      <c r="B29" s="27">
        <v>2000</v>
      </c>
      <c r="C29" s="27">
        <v>3500</v>
      </c>
      <c r="D29" s="26">
        <v>48</v>
      </c>
      <c r="E29" s="26">
        <v>80</v>
      </c>
      <c r="G29" s="34" t="s">
        <v>54</v>
      </c>
      <c r="H29" s="35" t="s">
        <v>97</v>
      </c>
      <c r="I29" s="36">
        <v>550000</v>
      </c>
      <c r="J29" s="36">
        <v>4500</v>
      </c>
      <c r="K29" s="35">
        <v>1</v>
      </c>
      <c r="L29" s="35">
        <v>2</v>
      </c>
      <c r="M29" s="35">
        <v>3</v>
      </c>
      <c r="N29" s="35">
        <v>6.29</v>
      </c>
      <c r="O29" s="35">
        <v>1</v>
      </c>
      <c r="P29" s="35" t="s">
        <v>98</v>
      </c>
      <c r="Q29" s="35" t="s">
        <v>99</v>
      </c>
    </row>
    <row r="30" spans="1:18" ht="20.100000000000001" customHeight="1" x14ac:dyDescent="0.25">
      <c r="A30" s="28" t="s">
        <v>100</v>
      </c>
      <c r="B30" s="30">
        <v>300</v>
      </c>
      <c r="C30" s="30">
        <v>600</v>
      </c>
      <c r="D30" s="29">
        <v>60</v>
      </c>
      <c r="E30" s="29">
        <v>80</v>
      </c>
      <c r="G30" s="37" t="s">
        <v>58</v>
      </c>
      <c r="H30" s="38" t="s">
        <v>101</v>
      </c>
      <c r="I30" s="39">
        <v>400000</v>
      </c>
      <c r="J30" s="39">
        <v>12000</v>
      </c>
      <c r="K30" s="38">
        <v>1</v>
      </c>
      <c r="L30" s="38">
        <v>2</v>
      </c>
      <c r="M30" s="38">
        <v>3</v>
      </c>
      <c r="N30" s="38">
        <v>4.51</v>
      </c>
      <c r="O30" s="38">
        <v>1</v>
      </c>
      <c r="P30" s="38" t="s">
        <v>102</v>
      </c>
      <c r="Q30" s="38" t="s">
        <v>103</v>
      </c>
    </row>
    <row r="31" spans="1:18" ht="20.100000000000001" customHeight="1" x14ac:dyDescent="0.25">
      <c r="A31" s="22" t="s">
        <v>104</v>
      </c>
      <c r="B31" s="24">
        <v>200</v>
      </c>
      <c r="C31" s="24">
        <v>400</v>
      </c>
      <c r="D31" s="23">
        <v>60</v>
      </c>
      <c r="E31" s="23">
        <v>80</v>
      </c>
      <c r="G31" s="40" t="s">
        <v>59</v>
      </c>
      <c r="H31" s="41" t="s">
        <v>105</v>
      </c>
      <c r="I31" s="42">
        <v>120000</v>
      </c>
      <c r="J31" s="42">
        <v>1275</v>
      </c>
      <c r="K31" s="41">
        <v>1</v>
      </c>
      <c r="L31" s="41">
        <v>1</v>
      </c>
      <c r="M31" s="41">
        <v>2</v>
      </c>
      <c r="N31" s="41">
        <v>1.73</v>
      </c>
      <c r="O31" s="41">
        <v>0</v>
      </c>
      <c r="P31" s="41" t="s">
        <v>106</v>
      </c>
      <c r="Q31" s="41" t="s">
        <v>98</v>
      </c>
    </row>
    <row r="32" spans="1:18" ht="20.100000000000001" customHeight="1" x14ac:dyDescent="0.25">
      <c r="A32" s="43" t="s">
        <v>107</v>
      </c>
      <c r="B32" s="44">
        <v>5000</v>
      </c>
      <c r="C32" s="44">
        <v>5000</v>
      </c>
      <c r="D32" s="45">
        <v>999</v>
      </c>
      <c r="E32" s="45">
        <v>999</v>
      </c>
      <c r="G32" s="46" t="s">
        <v>60</v>
      </c>
      <c r="H32" s="47" t="s">
        <v>108</v>
      </c>
      <c r="I32" s="48">
        <v>255000</v>
      </c>
      <c r="J32" s="48">
        <v>55000</v>
      </c>
      <c r="K32" s="47">
        <v>1</v>
      </c>
      <c r="L32" s="47">
        <v>1</v>
      </c>
      <c r="M32" s="47">
        <v>2</v>
      </c>
      <c r="N32" s="47">
        <v>1.58</v>
      </c>
      <c r="O32" s="47">
        <v>0</v>
      </c>
      <c r="P32" s="47" t="s">
        <v>106</v>
      </c>
      <c r="Q32" s="47" t="s">
        <v>109</v>
      </c>
    </row>
    <row r="33" spans="1:18" ht="20.100000000000001" customHeight="1" x14ac:dyDescent="0.25">
      <c r="A33" s="49" t="s">
        <v>110</v>
      </c>
      <c r="B33" s="50">
        <v>800</v>
      </c>
      <c r="C33" s="50">
        <v>800</v>
      </c>
      <c r="D33" s="51">
        <v>999</v>
      </c>
      <c r="E33" s="51">
        <v>999</v>
      </c>
      <c r="G33" s="52" t="s">
        <v>61</v>
      </c>
      <c r="H33" s="53" t="s">
        <v>111</v>
      </c>
      <c r="I33" s="54">
        <v>75000</v>
      </c>
      <c r="J33" s="54">
        <v>850</v>
      </c>
      <c r="K33" s="53">
        <v>1</v>
      </c>
      <c r="L33" s="53">
        <v>0</v>
      </c>
      <c r="M33" s="53">
        <v>1</v>
      </c>
      <c r="N33" s="53">
        <v>0.63</v>
      </c>
      <c r="O33" s="53">
        <v>0</v>
      </c>
      <c r="P33" s="53" t="s">
        <v>112</v>
      </c>
      <c r="Q33" s="53" t="s">
        <v>106</v>
      </c>
    </row>
    <row r="35" spans="1:18" ht="15.95" customHeight="1" x14ac:dyDescent="0.25">
      <c r="A35" s="226" t="s">
        <v>113</v>
      </c>
      <c r="B35" s="207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</row>
  </sheetData>
  <mergeCells count="13">
    <mergeCell ref="A35:R35"/>
    <mergeCell ref="A1:J1"/>
    <mergeCell ref="A12:A14"/>
    <mergeCell ref="A20:K20"/>
    <mergeCell ref="G27:R27"/>
    <mergeCell ref="A3:A5"/>
    <mergeCell ref="A9:A11"/>
    <mergeCell ref="A27:F27"/>
    <mergeCell ref="A15:A17"/>
    <mergeCell ref="A18:B18"/>
    <mergeCell ref="K1:N1"/>
    <mergeCell ref="A6:A8"/>
    <mergeCell ref="O1:R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1B3A6B"/>
  </sheetPr>
  <dimension ref="A1:L145"/>
  <sheetViews>
    <sheetView showGridLines="0"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0" customWidth="1"/>
    <col min="2" max="2" width="14" customWidth="1"/>
    <col min="3" max="9" width="11" customWidth="1"/>
    <col min="10" max="10" width="14" customWidth="1"/>
    <col min="11" max="12" width="10" customWidth="1"/>
  </cols>
  <sheetData>
    <row r="1" spans="1:12" ht="27.95" customHeight="1" x14ac:dyDescent="0.25">
      <c r="A1" s="55" t="s">
        <v>36</v>
      </c>
      <c r="B1" s="55" t="s">
        <v>114</v>
      </c>
      <c r="C1" s="55" t="s">
        <v>115</v>
      </c>
      <c r="D1" s="55" t="s">
        <v>116</v>
      </c>
      <c r="E1" s="55" t="s">
        <v>117</v>
      </c>
      <c r="F1" s="55" t="s">
        <v>118</v>
      </c>
      <c r="G1" s="55" t="s">
        <v>119</v>
      </c>
      <c r="H1" s="55" t="s">
        <v>120</v>
      </c>
      <c r="I1" s="55" t="s">
        <v>121</v>
      </c>
      <c r="J1" s="55" t="s">
        <v>122</v>
      </c>
      <c r="K1" s="55" t="s">
        <v>123</v>
      </c>
      <c r="L1" s="55" t="s">
        <v>124</v>
      </c>
    </row>
    <row r="2" spans="1:12" ht="21.95" customHeight="1" x14ac:dyDescent="0.25">
      <c r="A2" s="56" t="s">
        <v>54</v>
      </c>
      <c r="B2" s="57">
        <f>Dashboard!C3</f>
        <v>8</v>
      </c>
      <c r="C2" s="58">
        <v>2</v>
      </c>
      <c r="D2" s="58">
        <v>1</v>
      </c>
      <c r="E2" s="58">
        <v>3</v>
      </c>
      <c r="F2" s="58">
        <v>1</v>
      </c>
      <c r="G2" s="58">
        <v>2</v>
      </c>
      <c r="H2" s="58">
        <v>1</v>
      </c>
      <c r="I2" s="58">
        <v>1</v>
      </c>
      <c r="J2" s="59">
        <f>SUM(C2:I2)</f>
        <v>11</v>
      </c>
      <c r="K2" s="60" t="str">
        <f>IF(J2=B2,"✔ Yes","⚠ No")</f>
        <v>⚠ No</v>
      </c>
      <c r="L2" s="61">
        <v>1</v>
      </c>
    </row>
    <row r="3" spans="1:12" ht="21.95" customHeight="1" x14ac:dyDescent="0.25">
      <c r="A3" s="62" t="s">
        <v>58</v>
      </c>
      <c r="B3" s="57">
        <f>Dashboard!C6</f>
        <v>5</v>
      </c>
      <c r="C3" s="58">
        <v>1</v>
      </c>
      <c r="D3" s="58">
        <v>3</v>
      </c>
      <c r="E3" s="63">
        <v>0</v>
      </c>
      <c r="F3" s="58">
        <v>2</v>
      </c>
      <c r="G3" s="63">
        <v>0</v>
      </c>
      <c r="H3" s="63">
        <v>0</v>
      </c>
      <c r="I3" s="63">
        <v>0</v>
      </c>
      <c r="J3" s="59">
        <f>SUM(C3:I3)</f>
        <v>6</v>
      </c>
      <c r="K3" s="60" t="str">
        <f>IF(J3=B3,"✔ Yes","⚠ No")</f>
        <v>⚠ No</v>
      </c>
      <c r="L3" s="61">
        <v>1</v>
      </c>
    </row>
    <row r="4" spans="1:12" ht="21.95" customHeight="1" x14ac:dyDescent="0.25">
      <c r="A4" s="64" t="s">
        <v>59</v>
      </c>
      <c r="B4" s="57">
        <f>Dashboard!C9</f>
        <v>10</v>
      </c>
      <c r="C4" s="58">
        <v>4</v>
      </c>
      <c r="D4" s="58">
        <v>2</v>
      </c>
      <c r="E4" s="58">
        <v>4</v>
      </c>
      <c r="F4" s="58">
        <v>2</v>
      </c>
      <c r="G4" s="58">
        <v>2</v>
      </c>
      <c r="H4" s="63">
        <v>0</v>
      </c>
      <c r="I4" s="63">
        <v>0</v>
      </c>
      <c r="J4" s="59">
        <f>SUM(C4:I4)</f>
        <v>14</v>
      </c>
      <c r="K4" s="60" t="str">
        <f>IF(J4=B4,"✔ Yes","⚠ No")</f>
        <v>⚠ No</v>
      </c>
      <c r="L4" s="65">
        <v>0</v>
      </c>
    </row>
    <row r="5" spans="1:12" ht="21.95" customHeight="1" x14ac:dyDescent="0.25">
      <c r="A5" s="66" t="s">
        <v>60</v>
      </c>
      <c r="B5" s="57">
        <f>Dashboard!C12</f>
        <v>10</v>
      </c>
      <c r="C5" s="58">
        <v>3</v>
      </c>
      <c r="D5" s="58">
        <v>1</v>
      </c>
      <c r="E5" s="58">
        <v>2</v>
      </c>
      <c r="F5" s="58">
        <v>4</v>
      </c>
      <c r="G5" s="58">
        <v>2</v>
      </c>
      <c r="H5" s="58">
        <v>1</v>
      </c>
      <c r="I5" s="63">
        <v>0</v>
      </c>
      <c r="J5" s="59">
        <f>SUM(C5:I5)</f>
        <v>13</v>
      </c>
      <c r="K5" s="60" t="str">
        <f>IF(J5=B5,"✔ Yes","⚠ No")</f>
        <v>⚠ No</v>
      </c>
      <c r="L5" s="65">
        <v>0</v>
      </c>
    </row>
    <row r="6" spans="1:12" ht="21.95" customHeight="1" x14ac:dyDescent="0.25">
      <c r="A6" s="67" t="s">
        <v>61</v>
      </c>
      <c r="B6" s="57">
        <f>Dashboard!C15</f>
        <v>9</v>
      </c>
      <c r="C6" s="63">
        <v>0</v>
      </c>
      <c r="D6" s="58">
        <v>4</v>
      </c>
      <c r="E6" s="63">
        <v>0</v>
      </c>
      <c r="F6" s="63">
        <v>0</v>
      </c>
      <c r="G6" s="58">
        <v>5</v>
      </c>
      <c r="H6" s="63">
        <v>0</v>
      </c>
      <c r="I6" s="63">
        <v>0</v>
      </c>
      <c r="J6" s="59">
        <f>SUM(C6:I6)</f>
        <v>9</v>
      </c>
      <c r="K6" s="60" t="str">
        <f>IF(J6=B6,"✔ Yes","⚠ No")</f>
        <v>✔ Yes</v>
      </c>
      <c r="L6" s="65">
        <v>0</v>
      </c>
    </row>
    <row r="7" spans="1:12" ht="24" customHeight="1" x14ac:dyDescent="0.25">
      <c r="A7" s="223" t="s">
        <v>62</v>
      </c>
      <c r="B7" s="207"/>
      <c r="C7" s="68">
        <f t="shared" ref="C7:J7" si="0">SUM(C2:C6)</f>
        <v>10</v>
      </c>
      <c r="D7" s="68">
        <f t="shared" si="0"/>
        <v>11</v>
      </c>
      <c r="E7" s="68">
        <f t="shared" si="0"/>
        <v>9</v>
      </c>
      <c r="F7" s="68">
        <f t="shared" si="0"/>
        <v>9</v>
      </c>
      <c r="G7" s="68">
        <f t="shared" si="0"/>
        <v>11</v>
      </c>
      <c r="H7" s="68">
        <f t="shared" si="0"/>
        <v>2</v>
      </c>
      <c r="I7" s="68">
        <f t="shared" si="0"/>
        <v>1</v>
      </c>
      <c r="J7" s="69">
        <f t="shared" si="0"/>
        <v>53</v>
      </c>
    </row>
    <row r="8" spans="1:12" ht="9.9499999999999993" customHeight="1" x14ac:dyDescent="0.25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</row>
    <row r="9" spans="1:12" ht="26.1" customHeight="1" x14ac:dyDescent="0.25">
      <c r="A9" s="221" t="s">
        <v>125</v>
      </c>
      <c r="B9" s="207"/>
      <c r="C9" s="207"/>
      <c r="D9" s="207"/>
      <c r="E9" s="207"/>
      <c r="F9" s="207"/>
      <c r="G9" s="207"/>
      <c r="H9" s="207"/>
      <c r="I9" s="207"/>
      <c r="J9" s="207"/>
      <c r="K9" s="207"/>
      <c r="L9" s="207"/>
    </row>
    <row r="10" spans="1:12" ht="21.95" customHeight="1" x14ac:dyDescent="0.25">
      <c r="A10" s="71" t="s">
        <v>126</v>
      </c>
      <c r="B10" s="72">
        <v>68</v>
      </c>
      <c r="C10" s="73">
        <f t="shared" ref="C10:I10" si="1">(C2*6.29)+(C3*4.51)+(C4*1.73)+(C5*1.58)+(C6*0.63)</f>
        <v>28.75</v>
      </c>
      <c r="D10" s="73">
        <f t="shared" si="1"/>
        <v>27.38</v>
      </c>
      <c r="E10" s="73">
        <f t="shared" si="1"/>
        <v>28.95</v>
      </c>
      <c r="F10" s="73">
        <f t="shared" si="1"/>
        <v>25.09</v>
      </c>
      <c r="G10" s="73">
        <f t="shared" si="1"/>
        <v>22.349999999999998</v>
      </c>
      <c r="H10" s="73">
        <f t="shared" si="1"/>
        <v>7.87</v>
      </c>
      <c r="I10" s="73">
        <f t="shared" si="1"/>
        <v>6.29</v>
      </c>
    </row>
    <row r="11" spans="1:12" ht="21.95" customHeight="1" x14ac:dyDescent="0.25">
      <c r="A11" s="74" t="s">
        <v>127</v>
      </c>
      <c r="B11" s="75">
        <v>15</v>
      </c>
      <c r="C11" s="76">
        <f t="shared" ref="C11:I11" si="2">C2+C3</f>
        <v>3</v>
      </c>
      <c r="D11" s="76">
        <f t="shared" si="2"/>
        <v>4</v>
      </c>
      <c r="E11" s="76">
        <f t="shared" si="2"/>
        <v>3</v>
      </c>
      <c r="F11" s="76">
        <f t="shared" si="2"/>
        <v>3</v>
      </c>
      <c r="G11" s="76">
        <f t="shared" si="2"/>
        <v>2</v>
      </c>
      <c r="H11" s="76">
        <f t="shared" si="2"/>
        <v>1</v>
      </c>
      <c r="I11" s="76">
        <f t="shared" si="2"/>
        <v>1</v>
      </c>
    </row>
    <row r="12" spans="1:12" ht="21.95" customHeight="1" x14ac:dyDescent="0.25">
      <c r="A12" s="77" t="s">
        <v>128</v>
      </c>
      <c r="B12" s="78"/>
      <c r="C12" s="79">
        <f t="shared" ref="C12:I12" si="3">(C2*550000)+(C3*400000)+(C4*120000)+(C5*255000)+(C6*75000)</f>
        <v>2745000</v>
      </c>
      <c r="D12" s="79">
        <f t="shared" si="3"/>
        <v>2545000</v>
      </c>
      <c r="E12" s="79">
        <f t="shared" si="3"/>
        <v>2640000</v>
      </c>
      <c r="F12" s="79">
        <f t="shared" si="3"/>
        <v>2610000</v>
      </c>
      <c r="G12" s="79">
        <f t="shared" si="3"/>
        <v>2225000</v>
      </c>
      <c r="H12" s="79">
        <f t="shared" si="3"/>
        <v>805000</v>
      </c>
      <c r="I12" s="79">
        <f t="shared" si="3"/>
        <v>550000</v>
      </c>
    </row>
    <row r="13" spans="1:12" ht="21.95" customHeight="1" x14ac:dyDescent="0.25">
      <c r="A13" s="80" t="s">
        <v>129</v>
      </c>
      <c r="B13" s="81"/>
      <c r="C13" s="82">
        <f t="shared" ref="C13:I13" si="4">(C2*4500)+(C3*12000)+(C4*1275)+(C5*55000)+(C6*850)</f>
        <v>191100</v>
      </c>
      <c r="D13" s="82">
        <f t="shared" si="4"/>
        <v>101450</v>
      </c>
      <c r="E13" s="82">
        <f t="shared" si="4"/>
        <v>128600</v>
      </c>
      <c r="F13" s="82">
        <f t="shared" si="4"/>
        <v>251050</v>
      </c>
      <c r="G13" s="82">
        <f t="shared" si="4"/>
        <v>125800</v>
      </c>
      <c r="H13" s="82">
        <f t="shared" si="4"/>
        <v>59500</v>
      </c>
      <c r="I13" s="82">
        <f t="shared" si="4"/>
        <v>4500</v>
      </c>
    </row>
    <row r="14" spans="1:12" ht="21.95" customHeight="1" x14ac:dyDescent="0.25">
      <c r="A14" s="83" t="s">
        <v>130</v>
      </c>
      <c r="B14" s="84"/>
      <c r="C14" s="85">
        <f t="shared" ref="C14:I14" si="5">(C2*6.29*3200)+(C3*4.51*3200)+(C4*1.73*2700)+(C5*1.58*2700)+(C6*0.63*2200)</f>
        <v>86170</v>
      </c>
      <c r="D14" s="85">
        <f t="shared" si="5"/>
        <v>82576</v>
      </c>
      <c r="E14" s="85">
        <f t="shared" si="5"/>
        <v>87600</v>
      </c>
      <c r="F14" s="85">
        <f t="shared" si="5"/>
        <v>75398</v>
      </c>
      <c r="G14" s="85">
        <f t="shared" si="5"/>
        <v>65060</v>
      </c>
      <c r="H14" s="85">
        <f t="shared" si="5"/>
        <v>24394</v>
      </c>
      <c r="I14" s="85">
        <f t="shared" si="5"/>
        <v>20128</v>
      </c>
    </row>
    <row r="15" spans="1:12" ht="21.95" customHeight="1" x14ac:dyDescent="0.25">
      <c r="A15" s="77" t="s">
        <v>131</v>
      </c>
      <c r="B15" s="78"/>
      <c r="C15" s="79">
        <f t="shared" ref="C15:I15" si="6">C12-C13-C14</f>
        <v>2467730</v>
      </c>
      <c r="D15" s="79">
        <f t="shared" si="6"/>
        <v>2360974</v>
      </c>
      <c r="E15" s="79">
        <f t="shared" si="6"/>
        <v>2423800</v>
      </c>
      <c r="F15" s="79">
        <f t="shared" si="6"/>
        <v>2283552</v>
      </c>
      <c r="G15" s="79">
        <f t="shared" si="6"/>
        <v>2034140</v>
      </c>
      <c r="H15" s="79">
        <f t="shared" si="6"/>
        <v>721106</v>
      </c>
      <c r="I15" s="79">
        <f t="shared" si="6"/>
        <v>525372</v>
      </c>
    </row>
    <row r="16" spans="1:12" ht="8.1" customHeight="1" x14ac:dyDescent="0.2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</row>
    <row r="17" spans="1:12" ht="8.1" customHeight="1" x14ac:dyDescent="0.2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</row>
    <row r="18" spans="1:12" ht="8.1" customHeight="1" x14ac:dyDescent="0.2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</row>
    <row r="19" spans="1:12" ht="8.1" customHeight="1" x14ac:dyDescent="0.2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12" ht="21.95" customHeight="1" x14ac:dyDescent="0.25">
      <c r="A20" s="74" t="s">
        <v>132</v>
      </c>
      <c r="B20" s="75">
        <v>15</v>
      </c>
      <c r="C20" s="12">
        <f t="shared" ref="C20:I20" si="7">SUMPRODUCT(C2:C6,$L$2:$L$6)</f>
        <v>3</v>
      </c>
      <c r="D20" s="12">
        <f t="shared" si="7"/>
        <v>4</v>
      </c>
      <c r="E20" s="12">
        <f t="shared" si="7"/>
        <v>3</v>
      </c>
      <c r="F20" s="12">
        <f t="shared" si="7"/>
        <v>3</v>
      </c>
      <c r="G20" s="12">
        <f t="shared" si="7"/>
        <v>2</v>
      </c>
      <c r="H20" s="12">
        <f t="shared" si="7"/>
        <v>1</v>
      </c>
      <c r="I20" s="12">
        <f t="shared" si="7"/>
        <v>1</v>
      </c>
    </row>
    <row r="21" spans="1:12" ht="21.95" customHeight="1" x14ac:dyDescent="0.25">
      <c r="A21" s="71" t="s">
        <v>133</v>
      </c>
      <c r="B21" s="87"/>
      <c r="C21" s="88">
        <f>SUM(C2:C6)</f>
        <v>10</v>
      </c>
      <c r="D21" s="88">
        <f>SUM(C2:D6)</f>
        <v>21</v>
      </c>
      <c r="E21" s="88">
        <f>SUM(C2:E6)</f>
        <v>30</v>
      </c>
      <c r="F21" s="88">
        <f>SUM(C2:F6)</f>
        <v>39</v>
      </c>
      <c r="G21" s="88">
        <f>SUM(D2:G6)</f>
        <v>40</v>
      </c>
      <c r="H21" s="88">
        <f>SUM(E2:H6)</f>
        <v>31</v>
      </c>
      <c r="I21" s="88">
        <f>SUM(F2:I6)</f>
        <v>23</v>
      </c>
    </row>
    <row r="22" spans="1:12" ht="21.95" customHeight="1" x14ac:dyDescent="0.25">
      <c r="A22" s="71" t="s">
        <v>134</v>
      </c>
      <c r="B22" s="75">
        <v>20</v>
      </c>
      <c r="C22" s="89">
        <f t="shared" ref="C22:I22" si="8">C21*0.2</f>
        <v>2</v>
      </c>
      <c r="D22" s="89">
        <f t="shared" si="8"/>
        <v>4.2</v>
      </c>
      <c r="E22" s="89">
        <f t="shared" si="8"/>
        <v>6</v>
      </c>
      <c r="F22" s="89">
        <f t="shared" si="8"/>
        <v>7.8000000000000007</v>
      </c>
      <c r="G22" s="89">
        <f t="shared" si="8"/>
        <v>8</v>
      </c>
      <c r="H22" s="89">
        <f t="shared" si="8"/>
        <v>6.2</v>
      </c>
      <c r="I22" s="89">
        <f t="shared" si="8"/>
        <v>4.6000000000000005</v>
      </c>
    </row>
    <row r="23" spans="1:12" ht="21.95" customHeight="1" x14ac:dyDescent="0.25">
      <c r="A23" s="77" t="s">
        <v>135</v>
      </c>
      <c r="B23" s="3">
        <v>30</v>
      </c>
      <c r="C23" s="90">
        <f t="shared" ref="C23:I23" si="9">C21*0.5</f>
        <v>5</v>
      </c>
      <c r="D23" s="90">
        <f t="shared" si="9"/>
        <v>10.5</v>
      </c>
      <c r="E23" s="90">
        <f t="shared" si="9"/>
        <v>15</v>
      </c>
      <c r="F23" s="90">
        <f t="shared" si="9"/>
        <v>19.5</v>
      </c>
      <c r="G23" s="90">
        <f t="shared" si="9"/>
        <v>20</v>
      </c>
      <c r="H23" s="90">
        <f t="shared" si="9"/>
        <v>15.5</v>
      </c>
      <c r="I23" s="90">
        <f t="shared" si="9"/>
        <v>11.5</v>
      </c>
    </row>
    <row r="24" spans="1:12" ht="21.95" customHeight="1" x14ac:dyDescent="0.25">
      <c r="A24" s="31" t="s">
        <v>136</v>
      </c>
      <c r="B24" s="2">
        <v>50</v>
      </c>
      <c r="C24" s="91">
        <f t="shared" ref="C24:I24" si="10">C21*0.3</f>
        <v>3</v>
      </c>
      <c r="D24" s="91">
        <f t="shared" si="10"/>
        <v>6.3</v>
      </c>
      <c r="E24" s="91">
        <f t="shared" si="10"/>
        <v>9</v>
      </c>
      <c r="F24" s="91">
        <f t="shared" si="10"/>
        <v>11.7</v>
      </c>
      <c r="G24" s="91">
        <f t="shared" si="10"/>
        <v>12</v>
      </c>
      <c r="H24" s="91">
        <f t="shared" si="10"/>
        <v>9.2999999999999989</v>
      </c>
      <c r="I24" s="91">
        <f t="shared" si="10"/>
        <v>6.8999999999999995</v>
      </c>
    </row>
    <row r="25" spans="1:12" ht="8.1" customHeight="1" x14ac:dyDescent="0.25">
      <c r="A25" s="70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</row>
    <row r="26" spans="1:12" ht="26.1" customHeight="1" x14ac:dyDescent="0.25">
      <c r="A26" s="215" t="s">
        <v>137</v>
      </c>
      <c r="B26" s="207"/>
      <c r="C26" s="207"/>
      <c r="D26" s="207"/>
      <c r="E26" s="207"/>
      <c r="F26" s="207"/>
      <c r="G26" s="207"/>
      <c r="H26" s="207"/>
      <c r="I26" s="207"/>
      <c r="J26" s="207"/>
      <c r="K26" s="207"/>
      <c r="L26" s="207"/>
    </row>
    <row r="27" spans="1:12" ht="21.95" customHeight="1" x14ac:dyDescent="0.25">
      <c r="A27" s="233" t="s">
        <v>138</v>
      </c>
      <c r="B27" s="207"/>
      <c r="C27" s="207"/>
      <c r="D27" s="207"/>
      <c r="E27" s="207"/>
      <c r="F27" s="207"/>
      <c r="G27" s="207"/>
      <c r="H27" s="207"/>
      <c r="I27" s="207"/>
      <c r="J27" s="232">
        <f>(J2*550000)+(J3*400000)+(J4*120000)+(J5*255000)+(J6*75000)</f>
        <v>14120000</v>
      </c>
      <c r="K27" s="207"/>
      <c r="L27" s="207"/>
    </row>
    <row r="28" spans="1:12" ht="21.95" customHeight="1" x14ac:dyDescent="0.25">
      <c r="A28" s="231" t="s">
        <v>139</v>
      </c>
      <c r="B28" s="207"/>
      <c r="C28" s="207"/>
      <c r="D28" s="207"/>
      <c r="E28" s="207"/>
      <c r="F28" s="207"/>
      <c r="G28" s="207"/>
      <c r="H28" s="207"/>
      <c r="I28" s="207"/>
      <c r="J28" s="230">
        <f>(J2*4500)+(J3*12000)+(J4*1275)+(J5*55000)+(J6*850)</f>
        <v>862000</v>
      </c>
      <c r="K28" s="207"/>
      <c r="L28" s="207"/>
    </row>
    <row r="29" spans="1:12" ht="21.95" customHeight="1" x14ac:dyDescent="0.25">
      <c r="A29" s="227" t="s">
        <v>140</v>
      </c>
      <c r="B29" s="207"/>
      <c r="C29" s="207"/>
      <c r="D29" s="207"/>
      <c r="E29" s="207"/>
      <c r="F29" s="207"/>
      <c r="G29" s="207"/>
      <c r="H29" s="207"/>
      <c r="I29" s="207"/>
      <c r="J29" s="236">
        <f>(SUM(C20:I20)*18000)+(SUM(C22:I22)*15000)+(SUM(C23:I23)*8000)+(SUM(C24:I24)*3000)</f>
        <v>1838600</v>
      </c>
      <c r="K29" s="207"/>
      <c r="L29" s="207"/>
    </row>
    <row r="30" spans="1:12" ht="21.95" customHeight="1" x14ac:dyDescent="0.25">
      <c r="A30" s="235" t="s">
        <v>141</v>
      </c>
      <c r="B30" s="207"/>
      <c r="C30" s="207"/>
      <c r="D30" s="207"/>
      <c r="E30" s="207"/>
      <c r="F30" s="207"/>
      <c r="G30" s="207"/>
      <c r="H30" s="207"/>
      <c r="I30" s="207"/>
      <c r="J30" s="234">
        <f>(SUM(C20:I20)*10000)+(SUM(C22:I22)*6000)+(SUM(C23:I23)*3500)+(SUM(C24:I24)*1500)</f>
        <v>829600</v>
      </c>
      <c r="K30" s="207"/>
      <c r="L30" s="207"/>
    </row>
    <row r="31" spans="1:12" ht="30" customHeight="1" x14ac:dyDescent="0.25">
      <c r="A31" s="93" t="s">
        <v>142</v>
      </c>
      <c r="B31" s="94">
        <f>(B27+B29)-(B28+B30)</f>
        <v>0</v>
      </c>
      <c r="C31" s="229"/>
      <c r="D31" s="207"/>
      <c r="E31" s="207"/>
      <c r="F31" s="207"/>
      <c r="G31" s="207"/>
      <c r="H31" s="207"/>
      <c r="I31" s="207"/>
      <c r="J31" s="207"/>
      <c r="K31" s="207"/>
      <c r="L31" s="207"/>
    </row>
    <row r="32" spans="1:12" ht="9.9499999999999993" customHeight="1" x14ac:dyDescent="0.25">
      <c r="A32" s="70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</row>
    <row r="33" spans="1:12" ht="24" customHeight="1" x14ac:dyDescent="0.25">
      <c r="A33" s="221" t="s">
        <v>143</v>
      </c>
      <c r="B33" s="207"/>
      <c r="C33" s="207"/>
      <c r="D33" s="207"/>
      <c r="E33" s="207"/>
      <c r="F33" s="207"/>
      <c r="G33" s="207"/>
      <c r="H33" s="207"/>
      <c r="I33" s="207"/>
      <c r="J33" s="207"/>
      <c r="K33" s="207"/>
      <c r="L33" s="207"/>
    </row>
    <row r="34" spans="1:12" ht="20.100000000000001" customHeight="1" x14ac:dyDescent="0.25">
      <c r="A34" s="33" t="s">
        <v>85</v>
      </c>
      <c r="B34" s="33" t="s">
        <v>144</v>
      </c>
      <c r="C34" s="33" t="s">
        <v>145</v>
      </c>
      <c r="D34" s="33" t="s">
        <v>146</v>
      </c>
      <c r="E34" s="33" t="s">
        <v>147</v>
      </c>
      <c r="F34" s="33" t="s">
        <v>148</v>
      </c>
      <c r="G34" s="33" t="s">
        <v>149</v>
      </c>
      <c r="H34" s="33" t="s">
        <v>150</v>
      </c>
    </row>
    <row r="35" spans="1:12" ht="20.100000000000001" customHeight="1" x14ac:dyDescent="0.25">
      <c r="A35" s="56" t="s">
        <v>54</v>
      </c>
      <c r="B35" s="35">
        <f>J2</f>
        <v>11</v>
      </c>
      <c r="C35" s="36">
        <v>550000</v>
      </c>
      <c r="D35" s="36">
        <v>4500</v>
      </c>
      <c r="E35" s="36">
        <v>20128</v>
      </c>
      <c r="F35" s="36">
        <f>C35-D35-E35</f>
        <v>525372</v>
      </c>
      <c r="G35" s="95">
        <f>B35*F35</f>
        <v>5779092</v>
      </c>
      <c r="H35" s="96">
        <f>IF(G35+G36+G37+G38+G39&lt;&gt;0,G35/(G35+G36+G37+G38+G39),0)</f>
        <v>0.45090418933960558</v>
      </c>
    </row>
    <row r="36" spans="1:12" ht="20.100000000000001" customHeight="1" x14ac:dyDescent="0.25">
      <c r="A36" s="62" t="s">
        <v>58</v>
      </c>
      <c r="B36" s="38">
        <f>J3</f>
        <v>6</v>
      </c>
      <c r="C36" s="39">
        <v>400000</v>
      </c>
      <c r="D36" s="39">
        <v>12000</v>
      </c>
      <c r="E36" s="39">
        <v>14432</v>
      </c>
      <c r="F36" s="39">
        <f>C36-D36-E36</f>
        <v>373568</v>
      </c>
      <c r="G36" s="97">
        <f>B36*F36</f>
        <v>2241408</v>
      </c>
      <c r="H36" s="98">
        <f>IF(G35+G36+G37+G38+G39&lt;&gt;0,G36/(G35+G36+G37+G38+G39),0)</f>
        <v>0.17488218862397531</v>
      </c>
    </row>
    <row r="37" spans="1:12" ht="20.100000000000001" customHeight="1" x14ac:dyDescent="0.25">
      <c r="A37" s="64" t="s">
        <v>59</v>
      </c>
      <c r="B37" s="41">
        <f>J4</f>
        <v>14</v>
      </c>
      <c r="C37" s="42">
        <v>120000</v>
      </c>
      <c r="D37" s="42">
        <v>1275</v>
      </c>
      <c r="E37" s="42">
        <v>4671</v>
      </c>
      <c r="F37" s="42">
        <f>C37-D37-E37</f>
        <v>114054</v>
      </c>
      <c r="G37" s="99">
        <f>B37*F37</f>
        <v>1596756</v>
      </c>
      <c r="H37" s="100">
        <f>IF(G35+G36+G37+G38+G39&lt;&gt;0,G37/(G35+G36+G37+G38+G39),0)</f>
        <v>0.12458427201940223</v>
      </c>
    </row>
    <row r="38" spans="1:12" ht="20.100000000000001" customHeight="1" x14ac:dyDescent="0.25">
      <c r="A38" s="66" t="s">
        <v>60</v>
      </c>
      <c r="B38" s="47">
        <f>J5</f>
        <v>13</v>
      </c>
      <c r="C38" s="48">
        <v>255000</v>
      </c>
      <c r="D38" s="48">
        <v>55000</v>
      </c>
      <c r="E38" s="48">
        <v>4266</v>
      </c>
      <c r="F38" s="48">
        <f>C38-D38-E38</f>
        <v>195734</v>
      </c>
      <c r="G38" s="101">
        <f>B38*F38</f>
        <v>2544542</v>
      </c>
      <c r="H38" s="102">
        <f>IF(G35+G36+G37+G38+G39&lt;&gt;0,G38/(G35+G36+G37+G38+G39),0)</f>
        <v>0.19853372255547735</v>
      </c>
    </row>
    <row r="39" spans="1:12" ht="20.100000000000001" customHeight="1" x14ac:dyDescent="0.25">
      <c r="A39" s="67" t="s">
        <v>61</v>
      </c>
      <c r="B39" s="53">
        <f>J6</f>
        <v>9</v>
      </c>
      <c r="C39" s="54">
        <v>75000</v>
      </c>
      <c r="D39" s="54">
        <v>850</v>
      </c>
      <c r="E39" s="54">
        <v>1386</v>
      </c>
      <c r="F39" s="54">
        <f>C39-D39-E39</f>
        <v>72764</v>
      </c>
      <c r="G39" s="103">
        <f>B39*F39</f>
        <v>654876</v>
      </c>
      <c r="H39" s="104">
        <f>IF(G35+G36+G37+G38+G39&lt;&gt;0,G39/(G35+G36+G37+G38+G39),0)</f>
        <v>5.1095627461539554E-2</v>
      </c>
    </row>
    <row r="40" spans="1:12" ht="21.95" customHeight="1" x14ac:dyDescent="0.25">
      <c r="A40" s="105" t="s">
        <v>151</v>
      </c>
      <c r="B40" s="2">
        <f>SUM(B35:B39)</f>
        <v>53</v>
      </c>
      <c r="G40" s="106">
        <f>SUM(G35:G39)</f>
        <v>12816674</v>
      </c>
    </row>
    <row r="139" spans="1:12" ht="24" customHeight="1" x14ac:dyDescent="0.25">
      <c r="A139" s="228" t="s">
        <v>152</v>
      </c>
      <c r="B139" s="207"/>
      <c r="C139" s="207"/>
      <c r="D139" s="207"/>
      <c r="E139" s="207"/>
      <c r="F139" s="207"/>
      <c r="G139" s="207"/>
      <c r="H139" s="207"/>
      <c r="I139" s="207"/>
      <c r="J139" s="207"/>
      <c r="K139" s="207"/>
      <c r="L139" s="207"/>
    </row>
    <row r="140" spans="1:12" ht="20.100000000000001" customHeight="1" x14ac:dyDescent="0.25">
      <c r="A140" s="107" t="s">
        <v>85</v>
      </c>
      <c r="B140" s="107" t="s">
        <v>153</v>
      </c>
      <c r="C140" s="107" t="s">
        <v>115</v>
      </c>
      <c r="D140" s="107" t="s">
        <v>116</v>
      </c>
      <c r="E140" s="107" t="s">
        <v>117</v>
      </c>
      <c r="F140" s="107" t="s">
        <v>118</v>
      </c>
      <c r="G140" s="107" t="s">
        <v>119</v>
      </c>
      <c r="H140" s="107" t="s">
        <v>120</v>
      </c>
      <c r="I140" s="107" t="s">
        <v>121</v>
      </c>
    </row>
    <row r="141" spans="1:12" ht="20.100000000000001" customHeight="1" x14ac:dyDescent="0.25">
      <c r="A141" s="56" t="s">
        <v>54</v>
      </c>
      <c r="B141" s="92">
        <v>3</v>
      </c>
      <c r="C141" s="108">
        <v>3</v>
      </c>
      <c r="D141" s="108">
        <v>3</v>
      </c>
      <c r="E141" s="108">
        <v>3</v>
      </c>
      <c r="F141" s="108">
        <v>3</v>
      </c>
      <c r="G141" s="108">
        <v>3</v>
      </c>
      <c r="H141" s="108">
        <v>2</v>
      </c>
      <c r="I141" s="108">
        <v>2</v>
      </c>
    </row>
    <row r="142" spans="1:12" ht="20.100000000000001" customHeight="1" x14ac:dyDescent="0.25">
      <c r="A142" s="62" t="s">
        <v>58</v>
      </c>
      <c r="B142" s="92">
        <v>3</v>
      </c>
      <c r="C142" s="108">
        <v>3</v>
      </c>
      <c r="D142" s="108">
        <v>3</v>
      </c>
      <c r="E142" s="108">
        <v>3</v>
      </c>
      <c r="F142" s="108">
        <v>3</v>
      </c>
      <c r="G142" s="108">
        <v>3</v>
      </c>
      <c r="H142" s="108">
        <v>2</v>
      </c>
      <c r="I142" s="108">
        <v>2</v>
      </c>
    </row>
    <row r="143" spans="1:12" ht="20.100000000000001" customHeight="1" x14ac:dyDescent="0.25">
      <c r="A143" s="64" t="s">
        <v>59</v>
      </c>
      <c r="B143" s="92">
        <v>6</v>
      </c>
      <c r="C143" s="108">
        <v>6</v>
      </c>
      <c r="D143" s="108">
        <v>6</v>
      </c>
      <c r="E143" s="108">
        <v>6</v>
      </c>
      <c r="F143" s="108">
        <v>6</v>
      </c>
      <c r="G143" s="108">
        <v>6</v>
      </c>
      <c r="H143" s="108">
        <v>4</v>
      </c>
      <c r="I143" s="108">
        <v>4</v>
      </c>
    </row>
    <row r="144" spans="1:12" ht="20.100000000000001" customHeight="1" x14ac:dyDescent="0.25">
      <c r="A144" s="66" t="s">
        <v>60</v>
      </c>
      <c r="B144" s="92">
        <v>5</v>
      </c>
      <c r="C144" s="108">
        <v>5</v>
      </c>
      <c r="D144" s="108">
        <v>5</v>
      </c>
      <c r="E144" s="108">
        <v>5</v>
      </c>
      <c r="F144" s="108">
        <v>5</v>
      </c>
      <c r="G144" s="108">
        <v>5</v>
      </c>
      <c r="H144" s="108">
        <v>3</v>
      </c>
      <c r="I144" s="108">
        <v>3</v>
      </c>
    </row>
    <row r="145" spans="1:9" ht="20.100000000000001" customHeight="1" x14ac:dyDescent="0.25">
      <c r="A145" s="67" t="s">
        <v>61</v>
      </c>
      <c r="B145" s="92">
        <v>8</v>
      </c>
      <c r="C145" s="108">
        <v>8</v>
      </c>
      <c r="D145" s="108">
        <v>8</v>
      </c>
      <c r="E145" s="108">
        <v>8</v>
      </c>
      <c r="F145" s="108">
        <v>8</v>
      </c>
      <c r="G145" s="108">
        <v>8</v>
      </c>
      <c r="H145" s="108">
        <v>5</v>
      </c>
      <c r="I145" s="108">
        <v>5</v>
      </c>
    </row>
  </sheetData>
  <mergeCells count="14">
    <mergeCell ref="A26:L26"/>
    <mergeCell ref="A29:I29"/>
    <mergeCell ref="A139:L139"/>
    <mergeCell ref="C31:L31"/>
    <mergeCell ref="A7:B7"/>
    <mergeCell ref="J28:L28"/>
    <mergeCell ref="A28:I28"/>
    <mergeCell ref="A33:L33"/>
    <mergeCell ref="J27:L27"/>
    <mergeCell ref="A27:I27"/>
    <mergeCell ref="A9:L9"/>
    <mergeCell ref="J30:L30"/>
    <mergeCell ref="A30:I30"/>
    <mergeCell ref="J29:L29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392B"/>
  </sheetPr>
  <dimension ref="A1:P128"/>
  <sheetViews>
    <sheetView showGridLines="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8" customWidth="1"/>
    <col min="2" max="2" width="18" customWidth="1"/>
    <col min="3" max="3" width="36" customWidth="1"/>
    <col min="4" max="4" width="13" customWidth="1"/>
    <col min="5" max="5" width="16" customWidth="1"/>
    <col min="6" max="7" width="14" customWidth="1"/>
    <col min="8" max="8" width="4" customWidth="1"/>
    <col min="9" max="9" width="20" customWidth="1"/>
    <col min="10" max="11" width="14" customWidth="1"/>
    <col min="12" max="12" width="4" customWidth="1"/>
    <col min="13" max="13" width="22" customWidth="1"/>
    <col min="14" max="16" width="18" customWidth="1"/>
  </cols>
  <sheetData>
    <row r="1" spans="1:16" ht="30" customHeight="1" x14ac:dyDescent="0.25">
      <c r="A1" s="246" t="s">
        <v>154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</row>
    <row r="2" spans="1:16" ht="24" customHeight="1" x14ac:dyDescent="0.25">
      <c r="A2" s="109" t="s">
        <v>155</v>
      </c>
      <c r="B2" s="109" t="s">
        <v>156</v>
      </c>
      <c r="C2" s="109" t="s">
        <v>157</v>
      </c>
      <c r="D2" s="109" t="s">
        <v>158</v>
      </c>
      <c r="E2" s="109" t="s">
        <v>159</v>
      </c>
      <c r="F2" s="109" t="s">
        <v>160</v>
      </c>
      <c r="G2" s="109" t="s">
        <v>161</v>
      </c>
      <c r="H2" s="109"/>
      <c r="I2" s="109" t="s">
        <v>162</v>
      </c>
      <c r="J2" s="109" t="s">
        <v>163</v>
      </c>
      <c r="K2" s="109" t="s">
        <v>164</v>
      </c>
      <c r="L2" s="109"/>
      <c r="M2" s="109" t="s">
        <v>165</v>
      </c>
      <c r="N2" s="109" t="s">
        <v>166</v>
      </c>
      <c r="O2" s="109" t="s">
        <v>167</v>
      </c>
      <c r="P2" s="109" t="s">
        <v>168</v>
      </c>
    </row>
    <row r="3" spans="1:16" ht="26.1" customHeight="1" x14ac:dyDescent="0.25">
      <c r="A3" s="222" t="s">
        <v>169</v>
      </c>
      <c r="B3" s="207"/>
      <c r="C3" s="207"/>
      <c r="D3" s="207"/>
      <c r="E3" s="207"/>
      <c r="F3" s="207"/>
      <c r="G3" s="207"/>
      <c r="I3" s="239" t="s">
        <v>170</v>
      </c>
      <c r="J3" s="207"/>
      <c r="K3" s="207"/>
      <c r="M3" s="237" t="s">
        <v>171</v>
      </c>
      <c r="N3" s="207"/>
      <c r="O3" s="207"/>
      <c r="P3" s="207"/>
    </row>
    <row r="4" spans="1:16" ht="20.100000000000001" customHeight="1" x14ac:dyDescent="0.25">
      <c r="A4" s="111" t="s">
        <v>172</v>
      </c>
      <c r="B4" s="112" t="s">
        <v>173</v>
      </c>
      <c r="C4" s="113" t="s">
        <v>174</v>
      </c>
      <c r="D4" s="114">
        <v>6.29</v>
      </c>
      <c r="E4" s="115" t="s">
        <v>175</v>
      </c>
      <c r="F4" s="116" t="s">
        <v>176</v>
      </c>
      <c r="G4" s="117" t="s">
        <v>177</v>
      </c>
      <c r="H4" s="118"/>
      <c r="I4" s="119"/>
      <c r="J4" s="119"/>
      <c r="K4" s="119"/>
      <c r="L4" s="118"/>
      <c r="M4" s="120" t="s">
        <v>178</v>
      </c>
      <c r="N4" s="121">
        <f>COUNTIF(E4:E18,"1 (Cardiac)")*6.29*2000+COUNTIF(E4:E18,"1 (Neuro)")*4.51*2000+COUNTIF(E4:E18,"1 (OBGYN)")*1.73*2000+COUNTIF(E4:E18,"1 (Ortho)")*1.58*2000+COUNTIF(E4:E18,"1 (ENT)")*0.63*2000</f>
        <v>40800</v>
      </c>
      <c r="O4" s="122">
        <v>0</v>
      </c>
      <c r="P4" s="122">
        <v>0</v>
      </c>
    </row>
    <row r="5" spans="1:16" ht="20.100000000000001" customHeight="1" x14ac:dyDescent="0.25">
      <c r="A5" s="123" t="s">
        <v>179</v>
      </c>
      <c r="B5" s="112" t="s">
        <v>173</v>
      </c>
      <c r="C5" s="113" t="s">
        <v>180</v>
      </c>
      <c r="D5" s="114">
        <v>6.29</v>
      </c>
      <c r="E5" s="115" t="s">
        <v>175</v>
      </c>
      <c r="F5" s="116" t="s">
        <v>176</v>
      </c>
      <c r="G5" s="117" t="s">
        <v>177</v>
      </c>
      <c r="H5" s="118"/>
      <c r="I5" s="124"/>
      <c r="J5" s="124"/>
      <c r="K5" s="124"/>
      <c r="L5" s="118"/>
      <c r="M5" s="120" t="s">
        <v>160</v>
      </c>
      <c r="N5" s="121">
        <f>COUNTIF(F4:F18,"2 (Float)")*6.29*300+COUNTIF(F4:F18,"1 (Float)")*1.65*300</f>
        <v>6651</v>
      </c>
      <c r="O5" s="122">
        <v>0</v>
      </c>
      <c r="P5" s="122">
        <v>0</v>
      </c>
    </row>
    <row r="6" spans="1:16" ht="20.100000000000001" customHeight="1" x14ac:dyDescent="0.25">
      <c r="A6" s="123" t="s">
        <v>181</v>
      </c>
      <c r="B6" s="112" t="s">
        <v>173</v>
      </c>
      <c r="C6" s="113" t="s">
        <v>182</v>
      </c>
      <c r="D6" s="125">
        <v>4.51</v>
      </c>
      <c r="E6" s="115" t="s">
        <v>183</v>
      </c>
      <c r="F6" s="116" t="s">
        <v>176</v>
      </c>
      <c r="G6" s="117" t="s">
        <v>184</v>
      </c>
      <c r="H6" s="118"/>
      <c r="I6" s="124"/>
      <c r="J6" s="124"/>
      <c r="K6" s="124"/>
      <c r="L6" s="118"/>
      <c r="M6" s="120" t="s">
        <v>161</v>
      </c>
      <c r="N6" s="121">
        <f>COUNTIF(G4:G18,"3 (Cardiac)")*6.29*200+COUNTIF(G4:G18,"3 (Neuro)")*4.51*200+COUNTIF(G4:G18,"2 (OBGYN)")*1.73*200+COUNTIF(G4:G18,"2 (Ortho)")*1.58*200+COUNTIF(G4:G18,"1 (ENT)")*0.63*200</f>
        <v>4080</v>
      </c>
      <c r="O6" s="122">
        <v>0</v>
      </c>
      <c r="P6" s="122">
        <v>0</v>
      </c>
    </row>
    <row r="7" spans="1:16" ht="20.100000000000001" customHeight="1" x14ac:dyDescent="0.25">
      <c r="A7" s="123" t="s">
        <v>185</v>
      </c>
      <c r="B7" s="112" t="s">
        <v>173</v>
      </c>
      <c r="C7" s="113" t="s">
        <v>186</v>
      </c>
      <c r="D7" s="114">
        <v>6.92</v>
      </c>
      <c r="E7" s="115" t="s">
        <v>187</v>
      </c>
      <c r="F7" s="116" t="s">
        <v>188</v>
      </c>
      <c r="G7" s="117" t="s">
        <v>189</v>
      </c>
      <c r="H7" s="118"/>
      <c r="I7" s="126"/>
      <c r="J7" s="126"/>
      <c r="K7" s="126"/>
      <c r="L7" s="118"/>
      <c r="M7" s="127" t="s">
        <v>190</v>
      </c>
      <c r="N7" s="128">
        <f>SUM(N4:N6)</f>
        <v>51531</v>
      </c>
      <c r="O7" s="1"/>
      <c r="P7" s="1"/>
    </row>
    <row r="8" spans="1:16" ht="20.100000000000001" customHeight="1" x14ac:dyDescent="0.25">
      <c r="A8" s="123" t="s">
        <v>191</v>
      </c>
      <c r="B8" s="112" t="s">
        <v>173</v>
      </c>
      <c r="C8" s="113" t="s">
        <v>192</v>
      </c>
      <c r="D8" s="125">
        <v>4.74</v>
      </c>
      <c r="E8" s="115" t="s">
        <v>193</v>
      </c>
      <c r="F8" s="116" t="s">
        <v>188</v>
      </c>
      <c r="G8" s="117" t="s">
        <v>194</v>
      </c>
      <c r="H8" s="118"/>
      <c r="I8" s="126"/>
      <c r="J8" s="126"/>
      <c r="K8" s="126"/>
      <c r="L8" s="118"/>
      <c r="M8" s="129"/>
      <c r="N8" s="129"/>
      <c r="O8" s="129"/>
      <c r="P8" s="129"/>
    </row>
    <row r="9" spans="1:16" ht="20.100000000000001" customHeight="1" x14ac:dyDescent="0.25">
      <c r="A9" s="111" t="s">
        <v>172</v>
      </c>
      <c r="B9" s="130" t="s">
        <v>195</v>
      </c>
      <c r="C9" s="131" t="s">
        <v>196</v>
      </c>
      <c r="D9" s="7"/>
      <c r="E9" s="132"/>
      <c r="F9" s="133"/>
      <c r="G9" s="134"/>
      <c r="H9" s="118"/>
      <c r="I9" s="126"/>
      <c r="J9" s="126"/>
      <c r="K9" s="126"/>
      <c r="L9" s="118"/>
      <c r="M9" s="129"/>
      <c r="N9" s="129"/>
      <c r="O9" s="129"/>
      <c r="P9" s="129"/>
    </row>
    <row r="10" spans="1:16" ht="20.100000000000001" customHeight="1" x14ac:dyDescent="0.25">
      <c r="A10" s="123" t="s">
        <v>179</v>
      </c>
      <c r="B10" s="130" t="s">
        <v>195</v>
      </c>
      <c r="C10" s="131" t="s">
        <v>196</v>
      </c>
      <c r="D10" s="7"/>
      <c r="E10" s="132"/>
      <c r="F10" s="133"/>
      <c r="G10" s="134"/>
      <c r="H10" s="118"/>
      <c r="I10" s="126"/>
      <c r="J10" s="126"/>
      <c r="K10" s="126"/>
      <c r="L10" s="118"/>
      <c r="M10" s="129"/>
      <c r="N10" s="129"/>
      <c r="O10" s="129"/>
      <c r="P10" s="129"/>
    </row>
    <row r="11" spans="1:16" ht="20.100000000000001" customHeight="1" x14ac:dyDescent="0.25">
      <c r="A11" s="123" t="s">
        <v>181</v>
      </c>
      <c r="B11" s="130" t="s">
        <v>195</v>
      </c>
      <c r="C11" s="131" t="s">
        <v>196</v>
      </c>
      <c r="D11" s="7"/>
      <c r="E11" s="132"/>
      <c r="F11" s="133"/>
      <c r="G11" s="134"/>
      <c r="H11" s="118"/>
      <c r="I11" s="126"/>
      <c r="J11" s="126"/>
      <c r="K11" s="126"/>
      <c r="L11" s="118"/>
      <c r="M11" s="129"/>
      <c r="N11" s="129"/>
      <c r="O11" s="129"/>
      <c r="P11" s="129"/>
    </row>
    <row r="12" spans="1:16" ht="20.100000000000001" customHeight="1" x14ac:dyDescent="0.25">
      <c r="A12" s="123" t="s">
        <v>185</v>
      </c>
      <c r="B12" s="130" t="s">
        <v>195</v>
      </c>
      <c r="C12" s="131" t="s">
        <v>196</v>
      </c>
      <c r="D12" s="7"/>
      <c r="E12" s="132"/>
      <c r="F12" s="133"/>
      <c r="G12" s="134"/>
      <c r="H12" s="118"/>
      <c r="I12" s="126"/>
      <c r="J12" s="126"/>
      <c r="K12" s="126"/>
      <c r="L12" s="118"/>
      <c r="M12" s="129"/>
      <c r="N12" s="129"/>
      <c r="O12" s="129"/>
      <c r="P12" s="129"/>
    </row>
    <row r="13" spans="1:16" ht="20.100000000000001" customHeight="1" x14ac:dyDescent="0.25">
      <c r="A13" s="123" t="s">
        <v>191</v>
      </c>
      <c r="B13" s="130" t="s">
        <v>195</v>
      </c>
      <c r="C13" s="131" t="s">
        <v>196</v>
      </c>
      <c r="D13" s="7"/>
      <c r="E13" s="132"/>
      <c r="F13" s="133"/>
      <c r="G13" s="134"/>
      <c r="H13" s="118"/>
      <c r="I13" s="126"/>
      <c r="J13" s="126"/>
      <c r="K13" s="126"/>
      <c r="L13" s="118"/>
      <c r="M13" s="129"/>
      <c r="N13" s="129"/>
      <c r="O13" s="129"/>
      <c r="P13" s="129"/>
    </row>
    <row r="14" spans="1:16" ht="20.100000000000001" customHeight="1" x14ac:dyDescent="0.25">
      <c r="A14" s="111" t="s">
        <v>172</v>
      </c>
      <c r="B14" s="135" t="s">
        <v>197</v>
      </c>
      <c r="C14" s="131" t="s">
        <v>196</v>
      </c>
      <c r="D14" s="7"/>
      <c r="E14" s="132"/>
      <c r="F14" s="133"/>
      <c r="G14" s="134"/>
      <c r="H14" s="118"/>
      <c r="I14" s="126"/>
      <c r="J14" s="126"/>
      <c r="K14" s="126"/>
      <c r="L14" s="118"/>
      <c r="M14" s="129"/>
      <c r="N14" s="129"/>
      <c r="O14" s="129"/>
      <c r="P14" s="129"/>
    </row>
    <row r="15" spans="1:16" ht="20.100000000000001" customHeight="1" x14ac:dyDescent="0.25">
      <c r="A15" s="123" t="s">
        <v>179</v>
      </c>
      <c r="B15" s="135" t="s">
        <v>197</v>
      </c>
      <c r="C15" s="131" t="s">
        <v>196</v>
      </c>
      <c r="D15" s="7"/>
      <c r="E15" s="132"/>
      <c r="F15" s="133"/>
      <c r="G15" s="134"/>
      <c r="H15" s="118"/>
      <c r="I15" s="126"/>
      <c r="J15" s="126"/>
      <c r="K15" s="126"/>
      <c r="L15" s="118"/>
      <c r="M15" s="129"/>
      <c r="N15" s="129"/>
      <c r="O15" s="129"/>
      <c r="P15" s="129"/>
    </row>
    <row r="16" spans="1:16" ht="20.100000000000001" customHeight="1" x14ac:dyDescent="0.25">
      <c r="A16" s="123" t="s">
        <v>181</v>
      </c>
      <c r="B16" s="135" t="s">
        <v>197</v>
      </c>
      <c r="C16" s="131" t="s">
        <v>196</v>
      </c>
      <c r="D16" s="7"/>
      <c r="E16" s="132"/>
      <c r="F16" s="133"/>
      <c r="G16" s="134"/>
      <c r="H16" s="118"/>
      <c r="I16" s="126"/>
      <c r="J16" s="126"/>
      <c r="K16" s="126"/>
      <c r="L16" s="118"/>
      <c r="M16" s="129"/>
      <c r="N16" s="129"/>
      <c r="O16" s="129"/>
      <c r="P16" s="129"/>
    </row>
    <row r="17" spans="1:16" ht="20.100000000000001" customHeight="1" x14ac:dyDescent="0.25">
      <c r="A17" s="123" t="s">
        <v>185</v>
      </c>
      <c r="B17" s="135" t="s">
        <v>197</v>
      </c>
      <c r="C17" s="131" t="s">
        <v>196</v>
      </c>
      <c r="D17" s="7"/>
      <c r="E17" s="132"/>
      <c r="F17" s="133"/>
      <c r="G17" s="134"/>
      <c r="H17" s="118"/>
      <c r="I17" s="126"/>
      <c r="J17" s="126"/>
      <c r="K17" s="126"/>
      <c r="L17" s="118"/>
      <c r="M17" s="129"/>
      <c r="N17" s="129"/>
      <c r="O17" s="129"/>
      <c r="P17" s="129"/>
    </row>
    <row r="18" spans="1:16" ht="20.100000000000001" customHeight="1" x14ac:dyDescent="0.25">
      <c r="A18" s="123" t="s">
        <v>191</v>
      </c>
      <c r="B18" s="135" t="s">
        <v>197</v>
      </c>
      <c r="C18" s="131" t="s">
        <v>196</v>
      </c>
      <c r="D18" s="7"/>
      <c r="E18" s="132"/>
      <c r="F18" s="133"/>
      <c r="G18" s="134"/>
      <c r="H18" s="118"/>
      <c r="I18" s="126"/>
      <c r="J18" s="126"/>
      <c r="K18" s="126"/>
      <c r="L18" s="118"/>
      <c r="M18" s="129"/>
      <c r="N18" s="129"/>
      <c r="O18" s="129"/>
      <c r="P18" s="129"/>
    </row>
    <row r="19" spans="1:16" ht="21.95" customHeight="1" x14ac:dyDescent="0.25">
      <c r="A19" s="241" t="s">
        <v>198</v>
      </c>
      <c r="B19" s="207"/>
      <c r="C19" s="207"/>
      <c r="D19" s="207"/>
      <c r="E19" s="207"/>
      <c r="F19" s="207"/>
      <c r="G19" s="207"/>
    </row>
    <row r="20" spans="1:16" ht="6" customHeight="1" x14ac:dyDescent="0.25">
      <c r="A20" s="136"/>
      <c r="B20" s="136"/>
      <c r="C20" s="136"/>
      <c r="D20" s="136"/>
      <c r="E20" s="136"/>
      <c r="F20" s="136"/>
      <c r="G20" s="136"/>
      <c r="H20" s="136"/>
      <c r="I20" s="136"/>
      <c r="J20" s="136"/>
      <c r="K20" s="136"/>
      <c r="L20" s="136"/>
      <c r="M20" s="136"/>
      <c r="N20" s="136"/>
      <c r="O20" s="136"/>
      <c r="P20" s="136"/>
    </row>
    <row r="21" spans="1:16" ht="26.1" customHeight="1" x14ac:dyDescent="0.25">
      <c r="A21" s="221" t="s">
        <v>199</v>
      </c>
      <c r="B21" s="207"/>
      <c r="C21" s="207"/>
      <c r="D21" s="207"/>
      <c r="E21" s="207"/>
      <c r="F21" s="207"/>
      <c r="G21" s="207"/>
      <c r="I21" s="239" t="s">
        <v>200</v>
      </c>
      <c r="J21" s="207"/>
      <c r="K21" s="207"/>
      <c r="M21" s="237" t="s">
        <v>201</v>
      </c>
      <c r="N21" s="207"/>
      <c r="O21" s="207"/>
      <c r="P21" s="207"/>
    </row>
    <row r="22" spans="1:16" ht="20.100000000000001" customHeight="1" x14ac:dyDescent="0.25">
      <c r="A22" s="111" t="s">
        <v>172</v>
      </c>
      <c r="B22" s="112" t="s">
        <v>173</v>
      </c>
      <c r="C22" s="113" t="s">
        <v>174</v>
      </c>
      <c r="D22" s="114">
        <v>6.29</v>
      </c>
      <c r="E22" s="115" t="s">
        <v>175</v>
      </c>
      <c r="F22" s="116" t="s">
        <v>176</v>
      </c>
      <c r="G22" s="117" t="s">
        <v>177</v>
      </c>
      <c r="H22" s="118"/>
      <c r="I22" s="119"/>
      <c r="J22" s="119"/>
      <c r="K22" s="119"/>
      <c r="L22" s="118"/>
      <c r="M22" s="120" t="s">
        <v>178</v>
      </c>
      <c r="N22" s="121">
        <f>COUNTIF(E22:E36,"1 (Cardiac)")*6.29*2000+COUNTIF(E22:E36,"1 (Neuro)")*4.51*2000+COUNTIF(E22:E36,"1 (OBGYN)")*1.73*2000+COUNTIF(E22:E36,"1 (Ortho)")*1.58*2000+COUNTIF(E22:E36,"1 (ENT)")*0.63*2000</f>
        <v>47520</v>
      </c>
      <c r="O22" s="122">
        <v>0</v>
      </c>
      <c r="P22" s="122">
        <v>0</v>
      </c>
    </row>
    <row r="23" spans="1:16" ht="20.100000000000001" customHeight="1" x14ac:dyDescent="0.25">
      <c r="A23" s="123" t="s">
        <v>179</v>
      </c>
      <c r="B23" s="112" t="s">
        <v>173</v>
      </c>
      <c r="C23" s="113" t="s">
        <v>182</v>
      </c>
      <c r="D23" s="125">
        <v>4.51</v>
      </c>
      <c r="E23" s="115" t="s">
        <v>183</v>
      </c>
      <c r="F23" s="116" t="s">
        <v>176</v>
      </c>
      <c r="G23" s="117" t="s">
        <v>184</v>
      </c>
      <c r="H23" s="118"/>
      <c r="I23" s="124"/>
      <c r="J23" s="124"/>
      <c r="K23" s="124"/>
      <c r="L23" s="118"/>
      <c r="M23" s="120" t="s">
        <v>160</v>
      </c>
      <c r="N23" s="121">
        <f>COUNTIF(F22:F36,"2 (Float)")*6.29*300+COUNTIF(F22:F36,"1 (Float)")*1.65*300</f>
        <v>8538</v>
      </c>
      <c r="O23" s="122">
        <v>0</v>
      </c>
      <c r="P23" s="122">
        <v>0</v>
      </c>
    </row>
    <row r="24" spans="1:16" ht="20.100000000000001" customHeight="1" x14ac:dyDescent="0.25">
      <c r="A24" s="123" t="s">
        <v>181</v>
      </c>
      <c r="B24" s="112" t="s">
        <v>173</v>
      </c>
      <c r="C24" s="113" t="s">
        <v>202</v>
      </c>
      <c r="D24" s="125">
        <v>4.51</v>
      </c>
      <c r="E24" s="115" t="s">
        <v>183</v>
      </c>
      <c r="F24" s="116" t="s">
        <v>176</v>
      </c>
      <c r="G24" s="117" t="s">
        <v>184</v>
      </c>
      <c r="H24" s="118"/>
      <c r="I24" s="124"/>
      <c r="J24" s="124"/>
      <c r="K24" s="124"/>
      <c r="L24" s="118"/>
      <c r="M24" s="120" t="s">
        <v>161</v>
      </c>
      <c r="N24" s="121">
        <f>COUNTIF(G22:G36,"3 (Cardiac)")*6.29*200+COUNTIF(G22:G36,"3 (Neuro)")*4.51*200+COUNTIF(G22:G36,"2 (OBGYN)")*1.73*200+COUNTIF(G22:G36,"2 (Ortho)")*1.58*200+COUNTIF(G22:G36,"1 (ENT)")*0.63*200</f>
        <v>4752</v>
      </c>
      <c r="O24" s="122">
        <v>0</v>
      </c>
      <c r="P24" s="122">
        <v>0</v>
      </c>
    </row>
    <row r="25" spans="1:16" ht="20.100000000000001" customHeight="1" x14ac:dyDescent="0.25">
      <c r="A25" s="123" t="s">
        <v>185</v>
      </c>
      <c r="B25" s="112" t="s">
        <v>173</v>
      </c>
      <c r="C25" s="113" t="s">
        <v>203</v>
      </c>
      <c r="D25" s="125">
        <v>4.51</v>
      </c>
      <c r="E25" s="115" t="s">
        <v>183</v>
      </c>
      <c r="F25" s="116" t="s">
        <v>176</v>
      </c>
      <c r="G25" s="117" t="s">
        <v>184</v>
      </c>
      <c r="H25" s="118"/>
      <c r="I25" s="126"/>
      <c r="J25" s="126"/>
      <c r="K25" s="126"/>
      <c r="L25" s="118"/>
      <c r="M25" s="127" t="s">
        <v>190</v>
      </c>
      <c r="N25" s="128">
        <f>SUM(N22:N24)</f>
        <v>60810</v>
      </c>
      <c r="O25" s="1"/>
      <c r="P25" s="1"/>
    </row>
    <row r="26" spans="1:16" ht="20.100000000000001" customHeight="1" x14ac:dyDescent="0.25">
      <c r="A26" s="123" t="s">
        <v>191</v>
      </c>
      <c r="B26" s="112" t="s">
        <v>173</v>
      </c>
      <c r="C26" s="113" t="s">
        <v>204</v>
      </c>
      <c r="D26" s="125">
        <v>3.46</v>
      </c>
      <c r="E26" s="115" t="s">
        <v>187</v>
      </c>
      <c r="F26" s="116" t="s">
        <v>188</v>
      </c>
      <c r="G26" s="117" t="s">
        <v>189</v>
      </c>
      <c r="H26" s="118"/>
      <c r="I26" s="126"/>
      <c r="J26" s="126"/>
      <c r="K26" s="126"/>
      <c r="L26" s="118"/>
      <c r="M26" s="129"/>
      <c r="N26" s="129"/>
      <c r="O26" s="129"/>
      <c r="P26" s="129"/>
    </row>
    <row r="27" spans="1:16" ht="20.100000000000001" customHeight="1" x14ac:dyDescent="0.25">
      <c r="A27" s="111" t="s">
        <v>172</v>
      </c>
      <c r="B27" s="130" t="s">
        <v>195</v>
      </c>
      <c r="C27" s="137" t="s">
        <v>205</v>
      </c>
      <c r="D27" s="138">
        <v>1.58</v>
      </c>
      <c r="E27" s="115" t="s">
        <v>193</v>
      </c>
      <c r="F27" s="116" t="s">
        <v>188</v>
      </c>
      <c r="G27" s="117" t="s">
        <v>194</v>
      </c>
      <c r="H27" s="118"/>
      <c r="I27" s="126"/>
      <c r="J27" s="126"/>
      <c r="K27" s="126"/>
      <c r="L27" s="118"/>
      <c r="M27" s="129"/>
      <c r="N27" s="129"/>
      <c r="O27" s="129"/>
      <c r="P27" s="129"/>
    </row>
    <row r="28" spans="1:16" ht="20.100000000000001" customHeight="1" x14ac:dyDescent="0.25">
      <c r="A28" s="123" t="s">
        <v>179</v>
      </c>
      <c r="B28" s="130" t="s">
        <v>195</v>
      </c>
      <c r="C28" s="137" t="s">
        <v>206</v>
      </c>
      <c r="D28" s="138">
        <v>2.52</v>
      </c>
      <c r="E28" s="115" t="s">
        <v>207</v>
      </c>
      <c r="F28" s="133" t="s">
        <v>208</v>
      </c>
      <c r="G28" s="117" t="s">
        <v>207</v>
      </c>
      <c r="H28" s="118"/>
      <c r="I28" s="126"/>
      <c r="J28" s="126"/>
      <c r="K28" s="126"/>
      <c r="L28" s="118"/>
      <c r="M28" s="129"/>
      <c r="N28" s="129"/>
      <c r="O28" s="129"/>
      <c r="P28" s="129"/>
    </row>
    <row r="29" spans="1:16" ht="20.100000000000001" customHeight="1" x14ac:dyDescent="0.25">
      <c r="A29" s="123" t="s">
        <v>181</v>
      </c>
      <c r="B29" s="130" t="s">
        <v>195</v>
      </c>
      <c r="C29" s="131" t="s">
        <v>196</v>
      </c>
      <c r="D29" s="7"/>
      <c r="E29" s="132"/>
      <c r="F29" s="133"/>
      <c r="G29" s="134"/>
      <c r="H29" s="118"/>
      <c r="I29" s="126"/>
      <c r="J29" s="126"/>
      <c r="K29" s="126"/>
      <c r="L29" s="118"/>
      <c r="M29" s="129"/>
      <c r="N29" s="129"/>
      <c r="O29" s="129"/>
      <c r="P29" s="129"/>
    </row>
    <row r="30" spans="1:16" ht="20.100000000000001" customHeight="1" x14ac:dyDescent="0.25">
      <c r="A30" s="123" t="s">
        <v>185</v>
      </c>
      <c r="B30" s="130" t="s">
        <v>195</v>
      </c>
      <c r="C30" s="131" t="s">
        <v>196</v>
      </c>
      <c r="D30" s="7"/>
      <c r="E30" s="132"/>
      <c r="F30" s="133"/>
      <c r="G30" s="134"/>
      <c r="H30" s="118"/>
      <c r="I30" s="126"/>
      <c r="J30" s="126"/>
      <c r="K30" s="126"/>
      <c r="L30" s="118"/>
      <c r="M30" s="129"/>
      <c r="N30" s="129"/>
      <c r="O30" s="129"/>
      <c r="P30" s="129"/>
    </row>
    <row r="31" spans="1:16" ht="20.100000000000001" customHeight="1" x14ac:dyDescent="0.25">
      <c r="A31" s="123" t="s">
        <v>191</v>
      </c>
      <c r="B31" s="130" t="s">
        <v>195</v>
      </c>
      <c r="C31" s="131" t="s">
        <v>196</v>
      </c>
      <c r="D31" s="7"/>
      <c r="E31" s="132"/>
      <c r="F31" s="133"/>
      <c r="G31" s="134"/>
      <c r="H31" s="118"/>
      <c r="I31" s="126"/>
      <c r="J31" s="126"/>
      <c r="K31" s="126"/>
      <c r="L31" s="118"/>
      <c r="M31" s="129"/>
      <c r="N31" s="129"/>
      <c r="O31" s="129"/>
      <c r="P31" s="129"/>
    </row>
    <row r="32" spans="1:16" ht="20.100000000000001" customHeight="1" x14ac:dyDescent="0.25">
      <c r="A32" s="111" t="s">
        <v>172</v>
      </c>
      <c r="B32" s="135" t="s">
        <v>197</v>
      </c>
      <c r="C32" s="131" t="s">
        <v>196</v>
      </c>
      <c r="D32" s="7"/>
      <c r="E32" s="132"/>
      <c r="F32" s="133"/>
      <c r="G32" s="134"/>
      <c r="H32" s="118"/>
      <c r="I32" s="126"/>
      <c r="J32" s="126"/>
      <c r="K32" s="126"/>
      <c r="L32" s="118"/>
      <c r="M32" s="129"/>
      <c r="N32" s="129"/>
      <c r="O32" s="129"/>
      <c r="P32" s="129"/>
    </row>
    <row r="33" spans="1:16" ht="20.100000000000001" customHeight="1" x14ac:dyDescent="0.25">
      <c r="A33" s="123" t="s">
        <v>179</v>
      </c>
      <c r="B33" s="135" t="s">
        <v>197</v>
      </c>
      <c r="C33" s="131" t="s">
        <v>196</v>
      </c>
      <c r="D33" s="7"/>
      <c r="E33" s="132"/>
      <c r="F33" s="133"/>
      <c r="G33" s="134"/>
      <c r="H33" s="118"/>
      <c r="I33" s="126"/>
      <c r="J33" s="126"/>
      <c r="K33" s="126"/>
      <c r="L33" s="118"/>
      <c r="M33" s="129"/>
      <c r="N33" s="129"/>
      <c r="O33" s="129"/>
      <c r="P33" s="129"/>
    </row>
    <row r="34" spans="1:16" ht="20.100000000000001" customHeight="1" x14ac:dyDescent="0.25">
      <c r="A34" s="123" t="s">
        <v>181</v>
      </c>
      <c r="B34" s="135" t="s">
        <v>197</v>
      </c>
      <c r="C34" s="131" t="s">
        <v>196</v>
      </c>
      <c r="D34" s="7"/>
      <c r="E34" s="132"/>
      <c r="F34" s="133"/>
      <c r="G34" s="134"/>
      <c r="H34" s="118"/>
      <c r="I34" s="126"/>
      <c r="J34" s="126"/>
      <c r="K34" s="126"/>
      <c r="L34" s="118"/>
      <c r="M34" s="129"/>
      <c r="N34" s="129"/>
      <c r="O34" s="129"/>
      <c r="P34" s="129"/>
    </row>
    <row r="35" spans="1:16" ht="20.100000000000001" customHeight="1" x14ac:dyDescent="0.25">
      <c r="A35" s="123" t="s">
        <v>185</v>
      </c>
      <c r="B35" s="135" t="s">
        <v>197</v>
      </c>
      <c r="C35" s="131" t="s">
        <v>196</v>
      </c>
      <c r="D35" s="7"/>
      <c r="E35" s="132"/>
      <c r="F35" s="133"/>
      <c r="G35" s="134"/>
      <c r="H35" s="118"/>
      <c r="I35" s="126"/>
      <c r="J35" s="126"/>
      <c r="K35" s="126"/>
      <c r="L35" s="118"/>
      <c r="M35" s="129"/>
      <c r="N35" s="129"/>
      <c r="O35" s="129"/>
      <c r="P35" s="129"/>
    </row>
    <row r="36" spans="1:16" ht="20.100000000000001" customHeight="1" x14ac:dyDescent="0.25">
      <c r="A36" s="123" t="s">
        <v>191</v>
      </c>
      <c r="B36" s="135" t="s">
        <v>197</v>
      </c>
      <c r="C36" s="131" t="s">
        <v>196</v>
      </c>
      <c r="D36" s="7"/>
      <c r="E36" s="132"/>
      <c r="F36" s="133"/>
      <c r="G36" s="134"/>
      <c r="H36" s="118"/>
      <c r="I36" s="126"/>
      <c r="J36" s="126"/>
      <c r="K36" s="126"/>
      <c r="L36" s="118"/>
      <c r="M36" s="129"/>
      <c r="N36" s="129"/>
      <c r="O36" s="129"/>
      <c r="P36" s="129"/>
    </row>
    <row r="37" spans="1:16" ht="21.95" customHeight="1" x14ac:dyDescent="0.25">
      <c r="A37" s="248" t="s">
        <v>209</v>
      </c>
      <c r="B37" s="207"/>
      <c r="C37" s="207"/>
      <c r="D37" s="207"/>
      <c r="E37" s="207"/>
      <c r="F37" s="207"/>
      <c r="G37" s="207"/>
    </row>
    <row r="38" spans="1:16" ht="6" customHeight="1" x14ac:dyDescent="0.25">
      <c r="A38" s="136"/>
      <c r="B38" s="136"/>
      <c r="C38" s="136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</row>
    <row r="39" spans="1:16" ht="26.1" customHeight="1" x14ac:dyDescent="0.25">
      <c r="A39" s="244" t="s">
        <v>210</v>
      </c>
      <c r="B39" s="207"/>
      <c r="C39" s="207"/>
      <c r="D39" s="207"/>
      <c r="E39" s="207"/>
      <c r="F39" s="207"/>
      <c r="G39" s="207"/>
      <c r="I39" s="239" t="s">
        <v>211</v>
      </c>
      <c r="J39" s="207"/>
      <c r="K39" s="207"/>
      <c r="M39" s="237" t="s">
        <v>212</v>
      </c>
      <c r="N39" s="207"/>
      <c r="O39" s="207"/>
      <c r="P39" s="207"/>
    </row>
    <row r="40" spans="1:16" ht="20.100000000000001" customHeight="1" x14ac:dyDescent="0.25">
      <c r="A40" s="111" t="s">
        <v>172</v>
      </c>
      <c r="B40" s="112" t="s">
        <v>173</v>
      </c>
      <c r="C40" s="113" t="s">
        <v>174</v>
      </c>
      <c r="D40" s="114">
        <v>6.29</v>
      </c>
      <c r="E40" s="115" t="s">
        <v>175</v>
      </c>
      <c r="F40" s="116" t="s">
        <v>176</v>
      </c>
      <c r="G40" s="117" t="s">
        <v>177</v>
      </c>
      <c r="H40" s="118"/>
      <c r="I40" s="119"/>
      <c r="J40" s="119"/>
      <c r="K40" s="119"/>
      <c r="L40" s="118"/>
      <c r="M40" s="120" t="s">
        <v>178</v>
      </c>
      <c r="N40" s="121">
        <f>COUNTIF(E40:E54,"1 (Cardiac)")*6.29*2000+COUNTIF(E40:E54,"1 (Neuro)")*4.51*2000+COUNTIF(E40:E54,"1 (OBGYN)")*1.73*2000+COUNTIF(E40:E54,"1 (Ortho)")*1.58*2000+COUNTIF(E40:E54,"1 (ENT)")*0.63*2000</f>
        <v>44360</v>
      </c>
      <c r="O40" s="122">
        <v>0</v>
      </c>
      <c r="P40" s="122">
        <v>0</v>
      </c>
    </row>
    <row r="41" spans="1:16" ht="20.100000000000001" customHeight="1" x14ac:dyDescent="0.25">
      <c r="A41" s="123" t="s">
        <v>179</v>
      </c>
      <c r="B41" s="112" t="s">
        <v>173</v>
      </c>
      <c r="C41" s="113" t="s">
        <v>180</v>
      </c>
      <c r="D41" s="114">
        <v>6.29</v>
      </c>
      <c r="E41" s="115" t="s">
        <v>175</v>
      </c>
      <c r="F41" s="116" t="s">
        <v>176</v>
      </c>
      <c r="G41" s="117" t="s">
        <v>177</v>
      </c>
      <c r="H41" s="118"/>
      <c r="I41" s="124"/>
      <c r="J41" s="124"/>
      <c r="K41" s="124"/>
      <c r="L41" s="118"/>
      <c r="M41" s="120" t="s">
        <v>160</v>
      </c>
      <c r="N41" s="121">
        <f>COUNTIF(F40:F54,"2 (Float)")*6.29*300+COUNTIF(F40:F54,"1 (Float)")*1.65*300</f>
        <v>6651</v>
      </c>
      <c r="O41" s="122">
        <v>0</v>
      </c>
      <c r="P41" s="122">
        <v>0</v>
      </c>
    </row>
    <row r="42" spans="1:16" ht="20.100000000000001" customHeight="1" x14ac:dyDescent="0.25">
      <c r="A42" s="123" t="s">
        <v>181</v>
      </c>
      <c r="B42" s="112" t="s">
        <v>173</v>
      </c>
      <c r="C42" s="113" t="s">
        <v>213</v>
      </c>
      <c r="D42" s="114">
        <v>6.29</v>
      </c>
      <c r="E42" s="115" t="s">
        <v>175</v>
      </c>
      <c r="F42" s="116" t="s">
        <v>176</v>
      </c>
      <c r="G42" s="117" t="s">
        <v>177</v>
      </c>
      <c r="H42" s="118"/>
      <c r="I42" s="124"/>
      <c r="J42" s="124"/>
      <c r="K42" s="124"/>
      <c r="L42" s="118"/>
      <c r="M42" s="120" t="s">
        <v>161</v>
      </c>
      <c r="N42" s="121">
        <f>COUNTIF(G40:G54,"3 (Cardiac)")*6.29*200+COUNTIF(G40:G54,"3 (Neuro)")*4.51*200+COUNTIF(G40:G54,"2 (OBGYN)")*1.73*200+COUNTIF(G40:G54,"2 (Ortho)")*1.58*200+COUNTIF(G40:G54,"1 (ENT)")*0.63*200</f>
        <v>4436</v>
      </c>
      <c r="O42" s="122">
        <v>0</v>
      </c>
      <c r="P42" s="122">
        <v>0</v>
      </c>
    </row>
    <row r="43" spans="1:16" ht="20.100000000000001" customHeight="1" x14ac:dyDescent="0.25">
      <c r="A43" s="123" t="s">
        <v>185</v>
      </c>
      <c r="B43" s="112" t="s">
        <v>173</v>
      </c>
      <c r="C43" s="113" t="s">
        <v>186</v>
      </c>
      <c r="D43" s="114">
        <v>6.92</v>
      </c>
      <c r="E43" s="115" t="s">
        <v>187</v>
      </c>
      <c r="F43" s="116" t="s">
        <v>188</v>
      </c>
      <c r="G43" s="117" t="s">
        <v>189</v>
      </c>
      <c r="H43" s="118"/>
      <c r="I43" s="126"/>
      <c r="J43" s="126"/>
      <c r="K43" s="126"/>
      <c r="L43" s="118"/>
      <c r="M43" s="127" t="s">
        <v>190</v>
      </c>
      <c r="N43" s="128">
        <f>SUM(N40:N42)</f>
        <v>55447</v>
      </c>
      <c r="O43" s="1"/>
      <c r="P43" s="1"/>
    </row>
    <row r="44" spans="1:16" ht="20.100000000000001" customHeight="1" x14ac:dyDescent="0.25">
      <c r="A44" s="123" t="s">
        <v>191</v>
      </c>
      <c r="B44" s="112" t="s">
        <v>173</v>
      </c>
      <c r="C44" s="113" t="s">
        <v>214</v>
      </c>
      <c r="D44" s="125">
        <v>3.16</v>
      </c>
      <c r="E44" s="115" t="s">
        <v>193</v>
      </c>
      <c r="F44" s="116" t="s">
        <v>188</v>
      </c>
      <c r="G44" s="117" t="s">
        <v>194</v>
      </c>
      <c r="H44" s="118"/>
      <c r="I44" s="126"/>
      <c r="J44" s="126"/>
      <c r="K44" s="126"/>
      <c r="L44" s="118"/>
      <c r="M44" s="129"/>
      <c r="N44" s="129"/>
      <c r="O44" s="129"/>
      <c r="P44" s="129"/>
    </row>
    <row r="45" spans="1:16" ht="20.100000000000001" customHeight="1" x14ac:dyDescent="0.25">
      <c r="A45" s="111" t="s">
        <v>172</v>
      </c>
      <c r="B45" s="130" t="s">
        <v>195</v>
      </c>
      <c r="C45" s="131" t="s">
        <v>196</v>
      </c>
      <c r="D45" s="7"/>
      <c r="E45" s="132"/>
      <c r="F45" s="133"/>
      <c r="G45" s="134"/>
      <c r="H45" s="118"/>
      <c r="I45" s="126"/>
      <c r="J45" s="126"/>
      <c r="K45" s="126"/>
      <c r="L45" s="118"/>
      <c r="M45" s="129"/>
      <c r="N45" s="129"/>
      <c r="O45" s="129"/>
      <c r="P45" s="129"/>
    </row>
    <row r="46" spans="1:16" ht="20.100000000000001" customHeight="1" x14ac:dyDescent="0.25">
      <c r="A46" s="123" t="s">
        <v>179</v>
      </c>
      <c r="B46" s="130" t="s">
        <v>195</v>
      </c>
      <c r="C46" s="131" t="s">
        <v>196</v>
      </c>
      <c r="D46" s="7"/>
      <c r="E46" s="132"/>
      <c r="F46" s="133"/>
      <c r="G46" s="134"/>
      <c r="H46" s="118"/>
      <c r="I46" s="126"/>
      <c r="J46" s="126"/>
      <c r="K46" s="126"/>
      <c r="L46" s="118"/>
      <c r="M46" s="129"/>
      <c r="N46" s="129"/>
      <c r="O46" s="129"/>
      <c r="P46" s="129"/>
    </row>
    <row r="47" spans="1:16" ht="20.100000000000001" customHeight="1" x14ac:dyDescent="0.25">
      <c r="A47" s="123" t="s">
        <v>181</v>
      </c>
      <c r="B47" s="130" t="s">
        <v>195</v>
      </c>
      <c r="C47" s="131" t="s">
        <v>196</v>
      </c>
      <c r="D47" s="7"/>
      <c r="E47" s="132"/>
      <c r="F47" s="133"/>
      <c r="G47" s="134"/>
      <c r="H47" s="118"/>
      <c r="I47" s="126"/>
      <c r="J47" s="126"/>
      <c r="K47" s="126"/>
      <c r="L47" s="118"/>
      <c r="M47" s="129"/>
      <c r="N47" s="129"/>
      <c r="O47" s="129"/>
      <c r="P47" s="129"/>
    </row>
    <row r="48" spans="1:16" ht="20.100000000000001" customHeight="1" x14ac:dyDescent="0.25">
      <c r="A48" s="123" t="s">
        <v>185</v>
      </c>
      <c r="B48" s="130" t="s">
        <v>195</v>
      </c>
      <c r="C48" s="131" t="s">
        <v>196</v>
      </c>
      <c r="D48" s="7"/>
      <c r="E48" s="132"/>
      <c r="F48" s="133"/>
      <c r="G48" s="134"/>
      <c r="H48" s="118"/>
      <c r="I48" s="126"/>
      <c r="J48" s="126"/>
      <c r="K48" s="126"/>
      <c r="L48" s="118"/>
      <c r="M48" s="129"/>
      <c r="N48" s="129"/>
      <c r="O48" s="129"/>
      <c r="P48" s="129"/>
    </row>
    <row r="49" spans="1:16" ht="20.100000000000001" customHeight="1" x14ac:dyDescent="0.25">
      <c r="A49" s="123" t="s">
        <v>191</v>
      </c>
      <c r="B49" s="130" t="s">
        <v>195</v>
      </c>
      <c r="C49" s="131" t="s">
        <v>196</v>
      </c>
      <c r="D49" s="7"/>
      <c r="E49" s="132"/>
      <c r="F49" s="133"/>
      <c r="G49" s="134"/>
      <c r="H49" s="118"/>
      <c r="I49" s="126"/>
      <c r="J49" s="126"/>
      <c r="K49" s="126"/>
      <c r="L49" s="118"/>
      <c r="M49" s="129"/>
      <c r="N49" s="129"/>
      <c r="O49" s="129"/>
      <c r="P49" s="129"/>
    </row>
    <row r="50" spans="1:16" ht="20.100000000000001" customHeight="1" x14ac:dyDescent="0.25">
      <c r="A50" s="111" t="s">
        <v>172</v>
      </c>
      <c r="B50" s="135" t="s">
        <v>197</v>
      </c>
      <c r="C50" s="131" t="s">
        <v>196</v>
      </c>
      <c r="D50" s="7"/>
      <c r="E50" s="132"/>
      <c r="F50" s="133"/>
      <c r="G50" s="134"/>
      <c r="H50" s="118"/>
      <c r="I50" s="126"/>
      <c r="J50" s="126"/>
      <c r="K50" s="126"/>
      <c r="L50" s="118"/>
      <c r="M50" s="129"/>
      <c r="N50" s="129"/>
      <c r="O50" s="129"/>
      <c r="P50" s="129"/>
    </row>
    <row r="51" spans="1:16" ht="20.100000000000001" customHeight="1" x14ac:dyDescent="0.25">
      <c r="A51" s="123" t="s">
        <v>179</v>
      </c>
      <c r="B51" s="135" t="s">
        <v>197</v>
      </c>
      <c r="C51" s="131" t="s">
        <v>196</v>
      </c>
      <c r="D51" s="7"/>
      <c r="E51" s="132"/>
      <c r="F51" s="133"/>
      <c r="G51" s="134"/>
      <c r="H51" s="118"/>
      <c r="I51" s="126"/>
      <c r="J51" s="126"/>
      <c r="K51" s="126"/>
      <c r="L51" s="118"/>
      <c r="M51" s="129"/>
      <c r="N51" s="129"/>
      <c r="O51" s="129"/>
      <c r="P51" s="129"/>
    </row>
    <row r="52" spans="1:16" ht="20.100000000000001" customHeight="1" x14ac:dyDescent="0.25">
      <c r="A52" s="123" t="s">
        <v>181</v>
      </c>
      <c r="B52" s="135" t="s">
        <v>197</v>
      </c>
      <c r="C52" s="131" t="s">
        <v>196</v>
      </c>
      <c r="D52" s="7"/>
      <c r="E52" s="132"/>
      <c r="F52" s="133"/>
      <c r="G52" s="134"/>
      <c r="H52" s="118"/>
      <c r="I52" s="126"/>
      <c r="J52" s="126"/>
      <c r="K52" s="126"/>
      <c r="L52" s="118"/>
      <c r="M52" s="129"/>
      <c r="N52" s="129"/>
      <c r="O52" s="129"/>
      <c r="P52" s="129"/>
    </row>
    <row r="53" spans="1:16" ht="20.100000000000001" customHeight="1" x14ac:dyDescent="0.25">
      <c r="A53" s="123" t="s">
        <v>185</v>
      </c>
      <c r="B53" s="135" t="s">
        <v>197</v>
      </c>
      <c r="C53" s="131" t="s">
        <v>196</v>
      </c>
      <c r="D53" s="7"/>
      <c r="E53" s="132"/>
      <c r="F53" s="133"/>
      <c r="G53" s="134"/>
      <c r="H53" s="118"/>
      <c r="I53" s="126"/>
      <c r="J53" s="126"/>
      <c r="K53" s="126"/>
      <c r="L53" s="118"/>
      <c r="M53" s="129"/>
      <c r="N53" s="129"/>
      <c r="O53" s="129"/>
      <c r="P53" s="129"/>
    </row>
    <row r="54" spans="1:16" ht="20.100000000000001" customHeight="1" x14ac:dyDescent="0.25">
      <c r="A54" s="123" t="s">
        <v>191</v>
      </c>
      <c r="B54" s="135" t="s">
        <v>197</v>
      </c>
      <c r="C54" s="131" t="s">
        <v>196</v>
      </c>
      <c r="D54" s="7"/>
      <c r="E54" s="132"/>
      <c r="F54" s="133"/>
      <c r="G54" s="134"/>
      <c r="H54" s="118"/>
      <c r="I54" s="126"/>
      <c r="J54" s="126"/>
      <c r="K54" s="126"/>
      <c r="L54" s="118"/>
      <c r="M54" s="129"/>
      <c r="N54" s="129"/>
      <c r="O54" s="129"/>
      <c r="P54" s="129"/>
    </row>
    <row r="55" spans="1:16" ht="21.95" customHeight="1" x14ac:dyDescent="0.25">
      <c r="A55" s="249" t="s">
        <v>215</v>
      </c>
      <c r="B55" s="207"/>
      <c r="C55" s="207"/>
      <c r="D55" s="207"/>
      <c r="E55" s="207"/>
      <c r="F55" s="207"/>
      <c r="G55" s="207"/>
    </row>
    <row r="56" spans="1:16" ht="6" customHeight="1" x14ac:dyDescent="0.25">
      <c r="A56" s="136"/>
      <c r="B56" s="136"/>
      <c r="C56" s="136"/>
      <c r="D56" s="136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</row>
    <row r="57" spans="1:16" ht="26.1" customHeight="1" x14ac:dyDescent="0.25">
      <c r="A57" s="250" t="s">
        <v>216</v>
      </c>
      <c r="B57" s="207"/>
      <c r="C57" s="207"/>
      <c r="D57" s="207"/>
      <c r="E57" s="207"/>
      <c r="F57" s="207"/>
      <c r="G57" s="207"/>
      <c r="I57" s="239" t="s">
        <v>217</v>
      </c>
      <c r="J57" s="207"/>
      <c r="K57" s="207"/>
      <c r="M57" s="237" t="s">
        <v>218</v>
      </c>
      <c r="N57" s="207"/>
      <c r="O57" s="207"/>
      <c r="P57" s="207"/>
    </row>
    <row r="58" spans="1:16" ht="20.100000000000001" customHeight="1" x14ac:dyDescent="0.25">
      <c r="A58" s="111" t="s">
        <v>172</v>
      </c>
      <c r="B58" s="112" t="s">
        <v>173</v>
      </c>
      <c r="C58" s="113" t="s">
        <v>174</v>
      </c>
      <c r="D58" s="114">
        <v>6.29</v>
      </c>
      <c r="E58" s="115" t="s">
        <v>175</v>
      </c>
      <c r="F58" s="116" t="s">
        <v>176</v>
      </c>
      <c r="G58" s="117" t="s">
        <v>177</v>
      </c>
      <c r="H58" s="118"/>
      <c r="I58" s="119"/>
      <c r="J58" s="119"/>
      <c r="K58" s="119"/>
      <c r="L58" s="118"/>
      <c r="M58" s="120" t="s">
        <v>178</v>
      </c>
      <c r="N58" s="121">
        <f>COUNTIF(E58:E72,"1 (Cardiac)")*6.29*2000+COUNTIF(E58:E72,"1 (Neuro)")*4.51*2000+COUNTIF(E58:E72,"1 (OBGYN)")*1.73*2000+COUNTIF(E58:E72,"1 (Ortho)")*1.58*2000+COUNTIF(E58:E72,"1 (ENT)")*0.63*2000</f>
        <v>37240</v>
      </c>
      <c r="O58" s="122">
        <v>0</v>
      </c>
      <c r="P58" s="122">
        <v>0</v>
      </c>
    </row>
    <row r="59" spans="1:16" ht="20.100000000000001" customHeight="1" x14ac:dyDescent="0.25">
      <c r="A59" s="123" t="s">
        <v>179</v>
      </c>
      <c r="B59" s="112" t="s">
        <v>173</v>
      </c>
      <c r="C59" s="113" t="s">
        <v>182</v>
      </c>
      <c r="D59" s="125">
        <v>4.51</v>
      </c>
      <c r="E59" s="115" t="s">
        <v>183</v>
      </c>
      <c r="F59" s="116" t="s">
        <v>176</v>
      </c>
      <c r="G59" s="117" t="s">
        <v>184</v>
      </c>
      <c r="H59" s="118"/>
      <c r="I59" s="124"/>
      <c r="J59" s="124"/>
      <c r="K59" s="124"/>
      <c r="L59" s="118"/>
      <c r="M59" s="120" t="s">
        <v>160</v>
      </c>
      <c r="N59" s="121">
        <f>COUNTIF(F58:F72,"2 (Float)")*6.29*300+COUNTIF(F58:F72,"1 (Float)")*1.65*300</f>
        <v>6651</v>
      </c>
      <c r="O59" s="122">
        <v>0</v>
      </c>
      <c r="P59" s="122">
        <v>0</v>
      </c>
    </row>
    <row r="60" spans="1:16" ht="20.100000000000001" customHeight="1" x14ac:dyDescent="0.25">
      <c r="A60" s="123" t="s">
        <v>181</v>
      </c>
      <c r="B60" s="112" t="s">
        <v>173</v>
      </c>
      <c r="C60" s="113" t="s">
        <v>202</v>
      </c>
      <c r="D60" s="125">
        <v>4.51</v>
      </c>
      <c r="E60" s="115" t="s">
        <v>183</v>
      </c>
      <c r="F60" s="116" t="s">
        <v>176</v>
      </c>
      <c r="G60" s="117" t="s">
        <v>184</v>
      </c>
      <c r="H60" s="118"/>
      <c r="I60" s="124"/>
      <c r="J60" s="124"/>
      <c r="K60" s="124"/>
      <c r="L60" s="118"/>
      <c r="M60" s="120" t="s">
        <v>161</v>
      </c>
      <c r="N60" s="121">
        <f>COUNTIF(G58:G72,"3 (Cardiac)")*6.29*200+COUNTIF(G58:G72,"3 (Neuro)")*4.51*200+COUNTIF(G58:G72,"2 (OBGYN)")*1.73*200+COUNTIF(G58:G72,"2 (Ortho)")*1.58*200+COUNTIF(G58:G72,"1 (ENT)")*0.63*200</f>
        <v>3724</v>
      </c>
      <c r="O60" s="122">
        <v>0</v>
      </c>
      <c r="P60" s="122">
        <v>0</v>
      </c>
    </row>
    <row r="61" spans="1:16" ht="20.100000000000001" customHeight="1" x14ac:dyDescent="0.25">
      <c r="A61" s="123" t="s">
        <v>185</v>
      </c>
      <c r="B61" s="112" t="s">
        <v>173</v>
      </c>
      <c r="C61" s="113" t="s">
        <v>204</v>
      </c>
      <c r="D61" s="125">
        <v>3.46</v>
      </c>
      <c r="E61" s="115" t="s">
        <v>187</v>
      </c>
      <c r="F61" s="116" t="s">
        <v>188</v>
      </c>
      <c r="G61" s="117" t="s">
        <v>189</v>
      </c>
      <c r="H61" s="118"/>
      <c r="I61" s="126"/>
      <c r="J61" s="126"/>
      <c r="K61" s="126"/>
      <c r="L61" s="118"/>
      <c r="M61" s="127" t="s">
        <v>190</v>
      </c>
      <c r="N61" s="128">
        <f>SUM(N58:N60)</f>
        <v>47615</v>
      </c>
      <c r="O61" s="1"/>
      <c r="P61" s="1"/>
    </row>
    <row r="62" spans="1:16" ht="20.100000000000001" customHeight="1" x14ac:dyDescent="0.25">
      <c r="A62" s="123" t="s">
        <v>191</v>
      </c>
      <c r="B62" s="112" t="s">
        <v>173</v>
      </c>
      <c r="C62" s="113" t="s">
        <v>219</v>
      </c>
      <c r="D62" s="114">
        <v>6.32</v>
      </c>
      <c r="E62" s="115" t="s">
        <v>193</v>
      </c>
      <c r="F62" s="116" t="s">
        <v>188</v>
      </c>
      <c r="G62" s="117" t="s">
        <v>194</v>
      </c>
      <c r="H62" s="118"/>
      <c r="I62" s="126"/>
      <c r="J62" s="126"/>
      <c r="K62" s="126"/>
      <c r="L62" s="118"/>
      <c r="M62" s="129"/>
      <c r="N62" s="129"/>
      <c r="O62" s="129"/>
      <c r="P62" s="129"/>
    </row>
    <row r="63" spans="1:16" ht="20.100000000000001" customHeight="1" x14ac:dyDescent="0.25">
      <c r="A63" s="111" t="s">
        <v>172</v>
      </c>
      <c r="B63" s="130" t="s">
        <v>195</v>
      </c>
      <c r="C63" s="131" t="s">
        <v>196</v>
      </c>
      <c r="D63" s="7"/>
      <c r="E63" s="132"/>
      <c r="F63" s="133"/>
      <c r="G63" s="134"/>
      <c r="H63" s="118"/>
      <c r="I63" s="126"/>
      <c r="J63" s="126"/>
      <c r="K63" s="126"/>
      <c r="L63" s="118"/>
      <c r="M63" s="129"/>
      <c r="N63" s="129"/>
      <c r="O63" s="129"/>
      <c r="P63" s="129"/>
    </row>
    <row r="64" spans="1:16" ht="20.100000000000001" customHeight="1" x14ac:dyDescent="0.25">
      <c r="A64" s="123" t="s">
        <v>179</v>
      </c>
      <c r="B64" s="130" t="s">
        <v>195</v>
      </c>
      <c r="C64" s="131" t="s">
        <v>196</v>
      </c>
      <c r="D64" s="7"/>
      <c r="E64" s="132"/>
      <c r="F64" s="133"/>
      <c r="G64" s="134"/>
      <c r="H64" s="118"/>
      <c r="I64" s="126"/>
      <c r="J64" s="126"/>
      <c r="K64" s="126"/>
      <c r="L64" s="118"/>
      <c r="M64" s="129"/>
      <c r="N64" s="129"/>
      <c r="O64" s="129"/>
      <c r="P64" s="129"/>
    </row>
    <row r="65" spans="1:16" ht="20.100000000000001" customHeight="1" x14ac:dyDescent="0.25">
      <c r="A65" s="123" t="s">
        <v>181</v>
      </c>
      <c r="B65" s="130" t="s">
        <v>195</v>
      </c>
      <c r="C65" s="131" t="s">
        <v>196</v>
      </c>
      <c r="D65" s="7"/>
      <c r="E65" s="132"/>
      <c r="F65" s="133"/>
      <c r="G65" s="134"/>
      <c r="H65" s="118"/>
      <c r="I65" s="126"/>
      <c r="J65" s="126"/>
      <c r="K65" s="126"/>
      <c r="L65" s="118"/>
      <c r="M65" s="129"/>
      <c r="N65" s="129"/>
      <c r="O65" s="129"/>
      <c r="P65" s="129"/>
    </row>
    <row r="66" spans="1:16" ht="20.100000000000001" customHeight="1" x14ac:dyDescent="0.25">
      <c r="A66" s="123" t="s">
        <v>185</v>
      </c>
      <c r="B66" s="130" t="s">
        <v>195</v>
      </c>
      <c r="C66" s="131" t="s">
        <v>196</v>
      </c>
      <c r="D66" s="7"/>
      <c r="E66" s="132"/>
      <c r="F66" s="133"/>
      <c r="G66" s="134"/>
      <c r="H66" s="118"/>
      <c r="I66" s="126"/>
      <c r="J66" s="126"/>
      <c r="K66" s="126"/>
      <c r="L66" s="118"/>
      <c r="M66" s="129"/>
      <c r="N66" s="129"/>
      <c r="O66" s="129"/>
      <c r="P66" s="129"/>
    </row>
    <row r="67" spans="1:16" ht="20.100000000000001" customHeight="1" x14ac:dyDescent="0.25">
      <c r="A67" s="123" t="s">
        <v>191</v>
      </c>
      <c r="B67" s="130" t="s">
        <v>195</v>
      </c>
      <c r="C67" s="131" t="s">
        <v>196</v>
      </c>
      <c r="D67" s="7"/>
      <c r="E67" s="132"/>
      <c r="F67" s="133"/>
      <c r="G67" s="134"/>
      <c r="H67" s="118"/>
      <c r="I67" s="126"/>
      <c r="J67" s="126"/>
      <c r="K67" s="126"/>
      <c r="L67" s="118"/>
      <c r="M67" s="129"/>
      <c r="N67" s="129"/>
      <c r="O67" s="129"/>
      <c r="P67" s="129"/>
    </row>
    <row r="68" spans="1:16" ht="20.100000000000001" customHeight="1" x14ac:dyDescent="0.25">
      <c r="A68" s="111" t="s">
        <v>172</v>
      </c>
      <c r="B68" s="135" t="s">
        <v>197</v>
      </c>
      <c r="C68" s="131" t="s">
        <v>196</v>
      </c>
      <c r="D68" s="7"/>
      <c r="E68" s="132"/>
      <c r="F68" s="133"/>
      <c r="G68" s="134"/>
      <c r="H68" s="118"/>
      <c r="I68" s="126"/>
      <c r="J68" s="126"/>
      <c r="K68" s="126"/>
      <c r="L68" s="118"/>
      <c r="M68" s="129"/>
      <c r="N68" s="129"/>
      <c r="O68" s="129"/>
      <c r="P68" s="129"/>
    </row>
    <row r="69" spans="1:16" ht="20.100000000000001" customHeight="1" x14ac:dyDescent="0.25">
      <c r="A69" s="123" t="s">
        <v>179</v>
      </c>
      <c r="B69" s="135" t="s">
        <v>197</v>
      </c>
      <c r="C69" s="131" t="s">
        <v>196</v>
      </c>
      <c r="D69" s="7"/>
      <c r="E69" s="132"/>
      <c r="F69" s="133"/>
      <c r="G69" s="134"/>
      <c r="H69" s="118"/>
      <c r="I69" s="126"/>
      <c r="J69" s="126"/>
      <c r="K69" s="126"/>
      <c r="L69" s="118"/>
      <c r="M69" s="129"/>
      <c r="N69" s="129"/>
      <c r="O69" s="129"/>
      <c r="P69" s="129"/>
    </row>
    <row r="70" spans="1:16" ht="20.100000000000001" customHeight="1" x14ac:dyDescent="0.25">
      <c r="A70" s="123" t="s">
        <v>181</v>
      </c>
      <c r="B70" s="135" t="s">
        <v>197</v>
      </c>
      <c r="C70" s="131" t="s">
        <v>196</v>
      </c>
      <c r="D70" s="7"/>
      <c r="E70" s="132"/>
      <c r="F70" s="133"/>
      <c r="G70" s="134"/>
      <c r="H70" s="118"/>
      <c r="I70" s="126"/>
      <c r="J70" s="126"/>
      <c r="K70" s="126"/>
      <c r="L70" s="118"/>
      <c r="M70" s="129"/>
      <c r="N70" s="129"/>
      <c r="O70" s="129"/>
      <c r="P70" s="129"/>
    </row>
    <row r="71" spans="1:16" ht="20.100000000000001" customHeight="1" x14ac:dyDescent="0.25">
      <c r="A71" s="123" t="s">
        <v>185</v>
      </c>
      <c r="B71" s="135" t="s">
        <v>197</v>
      </c>
      <c r="C71" s="131" t="s">
        <v>196</v>
      </c>
      <c r="D71" s="7"/>
      <c r="E71" s="132"/>
      <c r="F71" s="133"/>
      <c r="G71" s="134"/>
      <c r="H71" s="118"/>
      <c r="I71" s="126"/>
      <c r="J71" s="126"/>
      <c r="K71" s="126"/>
      <c r="L71" s="118"/>
      <c r="M71" s="129"/>
      <c r="N71" s="129"/>
      <c r="O71" s="129"/>
      <c r="P71" s="129"/>
    </row>
    <row r="72" spans="1:16" ht="20.100000000000001" customHeight="1" x14ac:dyDescent="0.25">
      <c r="A72" s="123" t="s">
        <v>191</v>
      </c>
      <c r="B72" s="135" t="s">
        <v>197</v>
      </c>
      <c r="C72" s="131" t="s">
        <v>196</v>
      </c>
      <c r="D72" s="7"/>
      <c r="E72" s="132"/>
      <c r="F72" s="133"/>
      <c r="G72" s="134"/>
      <c r="H72" s="118"/>
      <c r="I72" s="126"/>
      <c r="J72" s="126"/>
      <c r="K72" s="126"/>
      <c r="L72" s="118"/>
      <c r="M72" s="129"/>
      <c r="N72" s="129"/>
      <c r="O72" s="129"/>
      <c r="P72" s="129"/>
    </row>
    <row r="73" spans="1:16" ht="21.95" customHeight="1" x14ac:dyDescent="0.25">
      <c r="A73" s="245" t="s">
        <v>220</v>
      </c>
      <c r="B73" s="207"/>
      <c r="C73" s="207"/>
      <c r="D73" s="207"/>
      <c r="E73" s="207"/>
      <c r="F73" s="207"/>
      <c r="G73" s="207"/>
    </row>
    <row r="74" spans="1:16" ht="6" customHeight="1" x14ac:dyDescent="0.25">
      <c r="A74" s="136"/>
      <c r="B74" s="136"/>
      <c r="C74" s="136"/>
      <c r="D74" s="136"/>
      <c r="E74" s="136"/>
      <c r="F74" s="136"/>
      <c r="G74" s="136"/>
      <c r="H74" s="136"/>
      <c r="I74" s="136"/>
      <c r="J74" s="136"/>
      <c r="K74" s="136"/>
      <c r="L74" s="136"/>
      <c r="M74" s="136"/>
      <c r="N74" s="136"/>
      <c r="O74" s="136"/>
      <c r="P74" s="136"/>
    </row>
    <row r="75" spans="1:16" ht="26.1" customHeight="1" x14ac:dyDescent="0.25">
      <c r="A75" s="247" t="s">
        <v>221</v>
      </c>
      <c r="B75" s="207"/>
      <c r="C75" s="207"/>
      <c r="D75" s="207"/>
      <c r="E75" s="207"/>
      <c r="F75" s="207"/>
      <c r="G75" s="207"/>
      <c r="I75" s="239" t="s">
        <v>222</v>
      </c>
      <c r="J75" s="207"/>
      <c r="K75" s="207"/>
      <c r="M75" s="237" t="s">
        <v>223</v>
      </c>
      <c r="N75" s="207"/>
      <c r="O75" s="207"/>
      <c r="P75" s="207"/>
    </row>
    <row r="76" spans="1:16" ht="20.100000000000001" customHeight="1" x14ac:dyDescent="0.25">
      <c r="A76" s="111" t="s">
        <v>172</v>
      </c>
      <c r="B76" s="112" t="s">
        <v>173</v>
      </c>
      <c r="C76" s="113" t="s">
        <v>174</v>
      </c>
      <c r="D76" s="114">
        <v>6.29</v>
      </c>
      <c r="E76" s="115" t="s">
        <v>175</v>
      </c>
      <c r="F76" s="116" t="s">
        <v>176</v>
      </c>
      <c r="G76" s="117" t="s">
        <v>177</v>
      </c>
      <c r="H76" s="118"/>
      <c r="I76" s="119"/>
      <c r="J76" s="119"/>
      <c r="K76" s="119"/>
      <c r="L76" s="118"/>
      <c r="M76" s="120" t="s">
        <v>178</v>
      </c>
      <c r="N76" s="121">
        <f>COUNTIF(E76:E90,"1 (Cardiac)")*6.29*2000+COUNTIF(E76:E90,"1 (Neuro)")*4.51*2000+COUNTIF(E76:E90,"1 (OBGYN)")*1.73*2000+COUNTIF(E76:E90,"1 (Ortho)")*1.58*2000+COUNTIF(E76:E90,"1 (ENT)")*0.63*2000</f>
        <v>33040</v>
      </c>
      <c r="O76" s="122">
        <v>0</v>
      </c>
      <c r="P76" s="122">
        <v>0</v>
      </c>
    </row>
    <row r="77" spans="1:16" ht="20.100000000000001" customHeight="1" x14ac:dyDescent="0.25">
      <c r="A77" s="123" t="s">
        <v>179</v>
      </c>
      <c r="B77" s="112" t="s">
        <v>173</v>
      </c>
      <c r="C77" s="113" t="s">
        <v>180</v>
      </c>
      <c r="D77" s="114">
        <v>6.29</v>
      </c>
      <c r="E77" s="115" t="s">
        <v>175</v>
      </c>
      <c r="F77" s="116" t="s">
        <v>176</v>
      </c>
      <c r="G77" s="117" t="s">
        <v>177</v>
      </c>
      <c r="H77" s="118"/>
      <c r="I77" s="124"/>
      <c r="J77" s="124"/>
      <c r="K77" s="124"/>
      <c r="L77" s="118"/>
      <c r="M77" s="120" t="s">
        <v>160</v>
      </c>
      <c r="N77" s="121">
        <f>COUNTIF(F76:F90,"2 (Float)")*6.29*300+COUNTIF(F76:F90,"1 (Float)")*1.65*300</f>
        <v>4764</v>
      </c>
      <c r="O77" s="122">
        <v>0</v>
      </c>
      <c r="P77" s="122">
        <v>0</v>
      </c>
    </row>
    <row r="78" spans="1:16" ht="20.100000000000001" customHeight="1" x14ac:dyDescent="0.25">
      <c r="A78" s="123" t="s">
        <v>181</v>
      </c>
      <c r="B78" s="112" t="s">
        <v>173</v>
      </c>
      <c r="C78" s="113" t="s">
        <v>204</v>
      </c>
      <c r="D78" s="125">
        <v>3.46</v>
      </c>
      <c r="E78" s="115" t="s">
        <v>187</v>
      </c>
      <c r="F78" s="116" t="s">
        <v>188</v>
      </c>
      <c r="G78" s="117" t="s">
        <v>189</v>
      </c>
      <c r="H78" s="118"/>
      <c r="I78" s="124"/>
      <c r="J78" s="124"/>
      <c r="K78" s="124"/>
      <c r="L78" s="118"/>
      <c r="M78" s="120" t="s">
        <v>161</v>
      </c>
      <c r="N78" s="121">
        <f>COUNTIF(G76:G90,"3 (Cardiac)")*6.29*200+COUNTIF(G76:G90,"3 (Neuro)")*4.51*200+COUNTIF(G76:G90,"2 (OBGYN)")*1.73*200+COUNTIF(G76:G90,"2 (Ortho)")*1.58*200+COUNTIF(G76:G90,"1 (ENT)")*0.63*200</f>
        <v>3304</v>
      </c>
      <c r="O78" s="122">
        <v>0</v>
      </c>
      <c r="P78" s="122">
        <v>0</v>
      </c>
    </row>
    <row r="79" spans="1:16" ht="20.100000000000001" customHeight="1" x14ac:dyDescent="0.25">
      <c r="A79" s="123" t="s">
        <v>185</v>
      </c>
      <c r="B79" s="112" t="s">
        <v>173</v>
      </c>
      <c r="C79" s="113" t="s">
        <v>214</v>
      </c>
      <c r="D79" s="125">
        <v>3.16</v>
      </c>
      <c r="E79" s="115" t="s">
        <v>193</v>
      </c>
      <c r="F79" s="116" t="s">
        <v>188</v>
      </c>
      <c r="G79" s="117" t="s">
        <v>194</v>
      </c>
      <c r="H79" s="118"/>
      <c r="I79" s="126"/>
      <c r="J79" s="126"/>
      <c r="K79" s="126"/>
      <c r="L79" s="118"/>
      <c r="M79" s="127" t="s">
        <v>190</v>
      </c>
      <c r="N79" s="128">
        <f>SUM(N76:N78)</f>
        <v>41108</v>
      </c>
      <c r="O79" s="1"/>
      <c r="P79" s="1"/>
    </row>
    <row r="80" spans="1:16" ht="20.100000000000001" customHeight="1" x14ac:dyDescent="0.25">
      <c r="A80" s="123" t="s">
        <v>191</v>
      </c>
      <c r="B80" s="112" t="s">
        <v>173</v>
      </c>
      <c r="C80" s="113" t="s">
        <v>224</v>
      </c>
      <c r="D80" s="125">
        <v>3.15</v>
      </c>
      <c r="E80" s="115" t="s">
        <v>207</v>
      </c>
      <c r="F80" s="133" t="s">
        <v>208</v>
      </c>
      <c r="G80" s="117" t="s">
        <v>207</v>
      </c>
      <c r="H80" s="118"/>
      <c r="I80" s="126"/>
      <c r="J80" s="126"/>
      <c r="K80" s="126"/>
      <c r="L80" s="118"/>
      <c r="M80" s="129"/>
      <c r="N80" s="129"/>
      <c r="O80" s="129"/>
      <c r="P80" s="129"/>
    </row>
    <row r="81" spans="1:16" ht="20.100000000000001" customHeight="1" x14ac:dyDescent="0.25">
      <c r="A81" s="111" t="s">
        <v>172</v>
      </c>
      <c r="B81" s="130" t="s">
        <v>195</v>
      </c>
      <c r="C81" s="131" t="s">
        <v>196</v>
      </c>
      <c r="D81" s="7"/>
      <c r="E81" s="132"/>
      <c r="F81" s="133"/>
      <c r="G81" s="134"/>
      <c r="H81" s="118"/>
      <c r="I81" s="126"/>
      <c r="J81" s="126"/>
      <c r="K81" s="126"/>
      <c r="L81" s="118"/>
      <c r="M81" s="129"/>
      <c r="N81" s="129"/>
      <c r="O81" s="129"/>
      <c r="P81" s="129"/>
    </row>
    <row r="82" spans="1:16" ht="20.100000000000001" customHeight="1" x14ac:dyDescent="0.25">
      <c r="A82" s="123" t="s">
        <v>179</v>
      </c>
      <c r="B82" s="130" t="s">
        <v>195</v>
      </c>
      <c r="C82" s="131" t="s">
        <v>196</v>
      </c>
      <c r="D82" s="7"/>
      <c r="E82" s="132"/>
      <c r="F82" s="133"/>
      <c r="G82" s="134"/>
      <c r="H82" s="118"/>
      <c r="I82" s="126"/>
      <c r="J82" s="126"/>
      <c r="K82" s="126"/>
      <c r="L82" s="118"/>
      <c r="M82" s="129"/>
      <c r="N82" s="129"/>
      <c r="O82" s="129"/>
      <c r="P82" s="129"/>
    </row>
    <row r="83" spans="1:16" ht="20.100000000000001" customHeight="1" x14ac:dyDescent="0.25">
      <c r="A83" s="123" t="s">
        <v>181</v>
      </c>
      <c r="B83" s="130" t="s">
        <v>195</v>
      </c>
      <c r="C83" s="131" t="s">
        <v>196</v>
      </c>
      <c r="D83" s="7"/>
      <c r="E83" s="132"/>
      <c r="F83" s="133"/>
      <c r="G83" s="134"/>
      <c r="H83" s="118"/>
      <c r="I83" s="126"/>
      <c r="J83" s="126"/>
      <c r="K83" s="126"/>
      <c r="L83" s="118"/>
      <c r="M83" s="129"/>
      <c r="N83" s="129"/>
      <c r="O83" s="129"/>
      <c r="P83" s="129"/>
    </row>
    <row r="84" spans="1:16" ht="20.100000000000001" customHeight="1" x14ac:dyDescent="0.25">
      <c r="A84" s="123" t="s">
        <v>185</v>
      </c>
      <c r="B84" s="130" t="s">
        <v>195</v>
      </c>
      <c r="C84" s="131" t="s">
        <v>196</v>
      </c>
      <c r="D84" s="7"/>
      <c r="E84" s="132"/>
      <c r="F84" s="133"/>
      <c r="G84" s="134"/>
      <c r="H84" s="118"/>
      <c r="I84" s="126"/>
      <c r="J84" s="126"/>
      <c r="K84" s="126"/>
      <c r="L84" s="118"/>
      <c r="M84" s="129"/>
      <c r="N84" s="129"/>
      <c r="O84" s="129"/>
      <c r="P84" s="129"/>
    </row>
    <row r="85" spans="1:16" ht="20.100000000000001" customHeight="1" x14ac:dyDescent="0.25">
      <c r="A85" s="123" t="s">
        <v>191</v>
      </c>
      <c r="B85" s="130" t="s">
        <v>195</v>
      </c>
      <c r="C85" s="131" t="s">
        <v>196</v>
      </c>
      <c r="D85" s="7"/>
      <c r="E85" s="132"/>
      <c r="F85" s="133"/>
      <c r="G85" s="134"/>
      <c r="H85" s="118"/>
      <c r="I85" s="126"/>
      <c r="J85" s="126"/>
      <c r="K85" s="126"/>
      <c r="L85" s="118"/>
      <c r="M85" s="129"/>
      <c r="N85" s="129"/>
      <c r="O85" s="129"/>
      <c r="P85" s="129"/>
    </row>
    <row r="86" spans="1:16" ht="20.100000000000001" customHeight="1" x14ac:dyDescent="0.25">
      <c r="A86" s="111" t="s">
        <v>172</v>
      </c>
      <c r="B86" s="135" t="s">
        <v>197</v>
      </c>
      <c r="C86" s="131" t="s">
        <v>196</v>
      </c>
      <c r="D86" s="7"/>
      <c r="E86" s="132"/>
      <c r="F86" s="133"/>
      <c r="G86" s="134"/>
      <c r="H86" s="118"/>
      <c r="I86" s="126"/>
      <c r="J86" s="126"/>
      <c r="K86" s="126"/>
      <c r="L86" s="118"/>
      <c r="M86" s="129"/>
      <c r="N86" s="129"/>
      <c r="O86" s="129"/>
      <c r="P86" s="129"/>
    </row>
    <row r="87" spans="1:16" ht="20.100000000000001" customHeight="1" x14ac:dyDescent="0.25">
      <c r="A87" s="123" t="s">
        <v>179</v>
      </c>
      <c r="B87" s="135" t="s">
        <v>197</v>
      </c>
      <c r="C87" s="131" t="s">
        <v>196</v>
      </c>
      <c r="D87" s="7"/>
      <c r="E87" s="132"/>
      <c r="F87" s="133"/>
      <c r="G87" s="134"/>
      <c r="H87" s="118"/>
      <c r="I87" s="126"/>
      <c r="J87" s="126"/>
      <c r="K87" s="126"/>
      <c r="L87" s="118"/>
      <c r="M87" s="129"/>
      <c r="N87" s="129"/>
      <c r="O87" s="129"/>
      <c r="P87" s="129"/>
    </row>
    <row r="88" spans="1:16" ht="20.100000000000001" customHeight="1" x14ac:dyDescent="0.25">
      <c r="A88" s="123" t="s">
        <v>181</v>
      </c>
      <c r="B88" s="135" t="s">
        <v>197</v>
      </c>
      <c r="C88" s="131" t="s">
        <v>196</v>
      </c>
      <c r="D88" s="7"/>
      <c r="E88" s="132"/>
      <c r="F88" s="133"/>
      <c r="G88" s="134"/>
      <c r="H88" s="118"/>
      <c r="I88" s="126"/>
      <c r="J88" s="126"/>
      <c r="K88" s="126"/>
      <c r="L88" s="118"/>
      <c r="M88" s="129"/>
      <c r="N88" s="129"/>
      <c r="O88" s="129"/>
      <c r="P88" s="129"/>
    </row>
    <row r="89" spans="1:16" ht="20.100000000000001" customHeight="1" x14ac:dyDescent="0.25">
      <c r="A89" s="123" t="s">
        <v>185</v>
      </c>
      <c r="B89" s="135" t="s">
        <v>197</v>
      </c>
      <c r="C89" s="131" t="s">
        <v>196</v>
      </c>
      <c r="D89" s="7"/>
      <c r="E89" s="132"/>
      <c r="F89" s="133"/>
      <c r="G89" s="134"/>
      <c r="H89" s="118"/>
      <c r="I89" s="126"/>
      <c r="J89" s="126"/>
      <c r="K89" s="126"/>
      <c r="L89" s="118"/>
      <c r="M89" s="129"/>
      <c r="N89" s="129"/>
      <c r="O89" s="129"/>
      <c r="P89" s="129"/>
    </row>
    <row r="90" spans="1:16" ht="20.100000000000001" customHeight="1" x14ac:dyDescent="0.25">
      <c r="A90" s="123" t="s">
        <v>191</v>
      </c>
      <c r="B90" s="135" t="s">
        <v>197</v>
      </c>
      <c r="C90" s="131" t="s">
        <v>196</v>
      </c>
      <c r="D90" s="7"/>
      <c r="E90" s="132"/>
      <c r="F90" s="133"/>
      <c r="G90" s="134"/>
      <c r="H90" s="118"/>
      <c r="I90" s="126"/>
      <c r="J90" s="126"/>
      <c r="K90" s="126"/>
      <c r="L90" s="118"/>
      <c r="M90" s="129"/>
      <c r="N90" s="129"/>
      <c r="O90" s="129"/>
      <c r="P90" s="129"/>
    </row>
    <row r="91" spans="1:16" ht="21.95" customHeight="1" x14ac:dyDescent="0.25">
      <c r="A91" s="238" t="s">
        <v>225</v>
      </c>
      <c r="B91" s="207"/>
      <c r="C91" s="207"/>
      <c r="D91" s="207"/>
      <c r="E91" s="207"/>
      <c r="F91" s="207"/>
      <c r="G91" s="207"/>
    </row>
    <row r="92" spans="1:16" ht="6" customHeight="1" x14ac:dyDescent="0.25">
      <c r="A92" s="136"/>
      <c r="B92" s="136"/>
      <c r="C92" s="136"/>
      <c r="D92" s="136"/>
      <c r="E92" s="136"/>
      <c r="F92" s="136"/>
      <c r="G92" s="136"/>
      <c r="H92" s="136"/>
      <c r="I92" s="136"/>
      <c r="J92" s="136"/>
      <c r="K92" s="136"/>
      <c r="L92" s="136"/>
      <c r="M92" s="136"/>
      <c r="N92" s="136"/>
      <c r="O92" s="136"/>
      <c r="P92" s="136"/>
    </row>
    <row r="93" spans="1:16" ht="26.1" customHeight="1" x14ac:dyDescent="0.25">
      <c r="A93" s="242" t="s">
        <v>226</v>
      </c>
      <c r="B93" s="207"/>
      <c r="C93" s="207"/>
      <c r="D93" s="207"/>
      <c r="E93" s="207"/>
      <c r="F93" s="207"/>
      <c r="G93" s="207"/>
      <c r="I93" s="239" t="s">
        <v>227</v>
      </c>
      <c r="J93" s="207"/>
      <c r="K93" s="207"/>
      <c r="M93" s="237" t="s">
        <v>228</v>
      </c>
      <c r="N93" s="207"/>
      <c r="O93" s="207"/>
      <c r="P93" s="207"/>
    </row>
    <row r="94" spans="1:16" ht="20.100000000000001" customHeight="1" x14ac:dyDescent="0.25">
      <c r="A94" s="111" t="s">
        <v>172</v>
      </c>
      <c r="B94" s="112" t="s">
        <v>173</v>
      </c>
      <c r="C94" s="113" t="s">
        <v>174</v>
      </c>
      <c r="D94" s="114">
        <v>6.29</v>
      </c>
      <c r="E94" s="115" t="s">
        <v>175</v>
      </c>
      <c r="F94" s="116" t="s">
        <v>176</v>
      </c>
      <c r="G94" s="117" t="s">
        <v>177</v>
      </c>
      <c r="H94" s="118"/>
      <c r="I94" s="119"/>
      <c r="J94" s="119"/>
      <c r="K94" s="119"/>
      <c r="L94" s="118"/>
      <c r="M94" s="120" t="s">
        <v>178</v>
      </c>
      <c r="N94" s="121">
        <f>COUNTIF(E94:E108,"1 (Cardiac)")*6.29*2000+COUNTIF(E94:E108,"1 (Neuro)")*4.51*2000+COUNTIF(E94:E108,"1 (OBGYN)")*1.73*2000+COUNTIF(E94:E108,"1 (Ortho)")*1.58*2000+COUNTIF(E94:E108,"1 (ENT)")*0.63*2000</f>
        <v>15740</v>
      </c>
      <c r="O94" s="122">
        <v>0</v>
      </c>
      <c r="P94" s="122">
        <v>0</v>
      </c>
    </row>
    <row r="95" spans="1:16" ht="20.100000000000001" customHeight="1" x14ac:dyDescent="0.25">
      <c r="A95" s="123" t="s">
        <v>179</v>
      </c>
      <c r="B95" s="112" t="s">
        <v>173</v>
      </c>
      <c r="C95" s="113" t="s">
        <v>205</v>
      </c>
      <c r="D95" s="125">
        <v>1.58</v>
      </c>
      <c r="E95" s="115" t="s">
        <v>193</v>
      </c>
      <c r="F95" s="116" t="s">
        <v>188</v>
      </c>
      <c r="G95" s="117" t="s">
        <v>194</v>
      </c>
      <c r="H95" s="118"/>
      <c r="I95" s="124"/>
      <c r="J95" s="124"/>
      <c r="K95" s="124"/>
      <c r="L95" s="118"/>
      <c r="M95" s="120" t="s">
        <v>160</v>
      </c>
      <c r="N95" s="121">
        <f>COUNTIF(F94:F108,"2 (Float)")*6.29*300+COUNTIF(F94:F108,"1 (Float)")*1.65*300</f>
        <v>2382</v>
      </c>
      <c r="O95" s="122">
        <v>0</v>
      </c>
      <c r="P95" s="122">
        <v>0</v>
      </c>
    </row>
    <row r="96" spans="1:16" ht="20.100000000000001" customHeight="1" x14ac:dyDescent="0.25">
      <c r="A96" s="123" t="s">
        <v>181</v>
      </c>
      <c r="B96" s="112" t="s">
        <v>173</v>
      </c>
      <c r="C96" s="131" t="s">
        <v>196</v>
      </c>
      <c r="D96" s="7"/>
      <c r="E96" s="132"/>
      <c r="F96" s="133"/>
      <c r="G96" s="134"/>
      <c r="H96" s="118"/>
      <c r="I96" s="124"/>
      <c r="J96" s="124"/>
      <c r="K96" s="124"/>
      <c r="L96" s="118"/>
      <c r="M96" s="120" t="s">
        <v>161</v>
      </c>
      <c r="N96" s="121">
        <f>COUNTIF(G94:G108,"3 (Cardiac)")*6.29*200+COUNTIF(G94:G108,"3 (Neuro)")*4.51*200+COUNTIF(G94:G108,"2 (OBGYN)")*1.73*200+COUNTIF(G94:G108,"2 (Ortho)")*1.58*200+COUNTIF(G94:G108,"1 (ENT)")*0.63*200</f>
        <v>1574</v>
      </c>
      <c r="O96" s="122">
        <v>0</v>
      </c>
      <c r="P96" s="122">
        <v>0</v>
      </c>
    </row>
    <row r="97" spans="1:16" ht="20.100000000000001" customHeight="1" x14ac:dyDescent="0.25">
      <c r="A97" s="123" t="s">
        <v>185</v>
      </c>
      <c r="B97" s="112" t="s">
        <v>173</v>
      </c>
      <c r="C97" s="131" t="s">
        <v>196</v>
      </c>
      <c r="D97" s="7"/>
      <c r="E97" s="132"/>
      <c r="F97" s="133"/>
      <c r="G97" s="134"/>
      <c r="H97" s="118"/>
      <c r="I97" s="126"/>
      <c r="J97" s="126"/>
      <c r="K97" s="126"/>
      <c r="L97" s="118"/>
      <c r="M97" s="127" t="s">
        <v>190</v>
      </c>
      <c r="N97" s="128">
        <f>SUM(N94:N96)</f>
        <v>19696</v>
      </c>
      <c r="O97" s="1"/>
      <c r="P97" s="1"/>
    </row>
    <row r="98" spans="1:16" ht="20.100000000000001" customHeight="1" x14ac:dyDescent="0.25">
      <c r="A98" s="123" t="s">
        <v>191</v>
      </c>
      <c r="B98" s="112" t="s">
        <v>173</v>
      </c>
      <c r="C98" s="131" t="s">
        <v>196</v>
      </c>
      <c r="D98" s="7"/>
      <c r="E98" s="132"/>
      <c r="F98" s="133"/>
      <c r="G98" s="134"/>
      <c r="H98" s="118"/>
      <c r="I98" s="126"/>
      <c r="J98" s="126"/>
      <c r="K98" s="126"/>
      <c r="L98" s="118"/>
      <c r="M98" s="129"/>
      <c r="N98" s="129"/>
      <c r="O98" s="129"/>
      <c r="P98" s="129"/>
    </row>
    <row r="99" spans="1:16" ht="20.100000000000001" customHeight="1" x14ac:dyDescent="0.25">
      <c r="A99" s="111" t="s">
        <v>172</v>
      </c>
      <c r="B99" s="130" t="s">
        <v>195</v>
      </c>
      <c r="C99" s="131" t="s">
        <v>196</v>
      </c>
      <c r="D99" s="7"/>
      <c r="E99" s="132"/>
      <c r="F99" s="133"/>
      <c r="G99" s="134"/>
      <c r="H99" s="118"/>
      <c r="I99" s="126"/>
      <c r="J99" s="126"/>
      <c r="K99" s="126"/>
      <c r="L99" s="118"/>
      <c r="M99" s="129"/>
      <c r="N99" s="129"/>
      <c r="O99" s="129"/>
      <c r="P99" s="129"/>
    </row>
    <row r="100" spans="1:16" ht="20.100000000000001" customHeight="1" x14ac:dyDescent="0.25">
      <c r="A100" s="123" t="s">
        <v>179</v>
      </c>
      <c r="B100" s="130" t="s">
        <v>195</v>
      </c>
      <c r="C100" s="131" t="s">
        <v>196</v>
      </c>
      <c r="D100" s="7"/>
      <c r="E100" s="132"/>
      <c r="F100" s="133"/>
      <c r="G100" s="134"/>
      <c r="H100" s="118"/>
      <c r="I100" s="126"/>
      <c r="J100" s="126"/>
      <c r="K100" s="126"/>
      <c r="L100" s="118"/>
      <c r="M100" s="129"/>
      <c r="N100" s="129"/>
      <c r="O100" s="129"/>
      <c r="P100" s="129"/>
    </row>
    <row r="101" spans="1:16" ht="20.100000000000001" customHeight="1" x14ac:dyDescent="0.25">
      <c r="A101" s="123" t="s">
        <v>181</v>
      </c>
      <c r="B101" s="130" t="s">
        <v>195</v>
      </c>
      <c r="C101" s="131" t="s">
        <v>196</v>
      </c>
      <c r="D101" s="7"/>
      <c r="E101" s="132"/>
      <c r="F101" s="133"/>
      <c r="G101" s="134"/>
      <c r="H101" s="118"/>
      <c r="I101" s="126"/>
      <c r="J101" s="126"/>
      <c r="K101" s="126"/>
      <c r="L101" s="118"/>
      <c r="M101" s="129"/>
      <c r="N101" s="129"/>
      <c r="O101" s="129"/>
      <c r="P101" s="129"/>
    </row>
    <row r="102" spans="1:16" ht="20.100000000000001" customHeight="1" x14ac:dyDescent="0.25">
      <c r="A102" s="123" t="s">
        <v>185</v>
      </c>
      <c r="B102" s="130" t="s">
        <v>195</v>
      </c>
      <c r="C102" s="131" t="s">
        <v>196</v>
      </c>
      <c r="D102" s="7"/>
      <c r="E102" s="132"/>
      <c r="F102" s="133"/>
      <c r="G102" s="134"/>
      <c r="H102" s="118"/>
      <c r="I102" s="126"/>
      <c r="J102" s="126"/>
      <c r="K102" s="126"/>
      <c r="L102" s="118"/>
      <c r="M102" s="129"/>
      <c r="N102" s="129"/>
      <c r="O102" s="129"/>
      <c r="P102" s="129"/>
    </row>
    <row r="103" spans="1:16" ht="20.100000000000001" customHeight="1" x14ac:dyDescent="0.25">
      <c r="A103" s="123" t="s">
        <v>191</v>
      </c>
      <c r="B103" s="130" t="s">
        <v>195</v>
      </c>
      <c r="C103" s="131" t="s">
        <v>196</v>
      </c>
      <c r="D103" s="7"/>
      <c r="E103" s="132"/>
      <c r="F103" s="133"/>
      <c r="G103" s="134"/>
      <c r="H103" s="118"/>
      <c r="I103" s="126"/>
      <c r="J103" s="126"/>
      <c r="K103" s="126"/>
      <c r="L103" s="118"/>
      <c r="M103" s="129"/>
      <c r="N103" s="129"/>
      <c r="O103" s="129"/>
      <c r="P103" s="129"/>
    </row>
    <row r="104" spans="1:16" ht="20.100000000000001" customHeight="1" x14ac:dyDescent="0.25">
      <c r="A104" s="111" t="s">
        <v>172</v>
      </c>
      <c r="B104" s="135" t="s">
        <v>197</v>
      </c>
      <c r="C104" s="131" t="s">
        <v>196</v>
      </c>
      <c r="D104" s="7"/>
      <c r="E104" s="132"/>
      <c r="F104" s="133"/>
      <c r="G104" s="134"/>
      <c r="H104" s="118"/>
      <c r="I104" s="126"/>
      <c r="J104" s="126"/>
      <c r="K104" s="126"/>
      <c r="L104" s="118"/>
      <c r="M104" s="129"/>
      <c r="N104" s="129"/>
      <c r="O104" s="129"/>
      <c r="P104" s="129"/>
    </row>
    <row r="105" spans="1:16" ht="20.100000000000001" customHeight="1" x14ac:dyDescent="0.25">
      <c r="A105" s="123" t="s">
        <v>179</v>
      </c>
      <c r="B105" s="135" t="s">
        <v>197</v>
      </c>
      <c r="C105" s="131" t="s">
        <v>196</v>
      </c>
      <c r="D105" s="7"/>
      <c r="E105" s="132"/>
      <c r="F105" s="133"/>
      <c r="G105" s="134"/>
      <c r="H105" s="118"/>
      <c r="I105" s="126"/>
      <c r="J105" s="126"/>
      <c r="K105" s="126"/>
      <c r="L105" s="118"/>
      <c r="M105" s="129"/>
      <c r="N105" s="129"/>
      <c r="O105" s="129"/>
      <c r="P105" s="129"/>
    </row>
    <row r="106" spans="1:16" ht="20.100000000000001" customHeight="1" x14ac:dyDescent="0.25">
      <c r="A106" s="123" t="s">
        <v>181</v>
      </c>
      <c r="B106" s="135" t="s">
        <v>197</v>
      </c>
      <c r="C106" s="131" t="s">
        <v>196</v>
      </c>
      <c r="D106" s="7"/>
      <c r="E106" s="132"/>
      <c r="F106" s="133"/>
      <c r="G106" s="134"/>
      <c r="H106" s="118"/>
      <c r="I106" s="126"/>
      <c r="J106" s="126"/>
      <c r="K106" s="126"/>
      <c r="L106" s="118"/>
      <c r="M106" s="129"/>
      <c r="N106" s="129"/>
      <c r="O106" s="129"/>
      <c r="P106" s="129"/>
    </row>
    <row r="107" spans="1:16" ht="20.100000000000001" customHeight="1" x14ac:dyDescent="0.25">
      <c r="A107" s="123" t="s">
        <v>185</v>
      </c>
      <c r="B107" s="135" t="s">
        <v>197</v>
      </c>
      <c r="C107" s="131" t="s">
        <v>196</v>
      </c>
      <c r="D107" s="7"/>
      <c r="E107" s="132"/>
      <c r="F107" s="133"/>
      <c r="G107" s="134"/>
      <c r="H107" s="118"/>
      <c r="I107" s="126"/>
      <c r="J107" s="126"/>
      <c r="K107" s="126"/>
      <c r="L107" s="118"/>
      <c r="M107" s="129"/>
      <c r="N107" s="129"/>
      <c r="O107" s="129"/>
      <c r="P107" s="129"/>
    </row>
    <row r="108" spans="1:16" ht="20.100000000000001" customHeight="1" x14ac:dyDescent="0.25">
      <c r="A108" s="123" t="s">
        <v>191</v>
      </c>
      <c r="B108" s="135" t="s">
        <v>197</v>
      </c>
      <c r="C108" s="131" t="s">
        <v>196</v>
      </c>
      <c r="D108" s="7"/>
      <c r="E108" s="132"/>
      <c r="F108" s="133"/>
      <c r="G108" s="134"/>
      <c r="H108" s="118"/>
      <c r="I108" s="126"/>
      <c r="J108" s="126"/>
      <c r="K108" s="126"/>
      <c r="L108" s="118"/>
      <c r="M108" s="129"/>
      <c r="N108" s="129"/>
      <c r="O108" s="129"/>
      <c r="P108" s="129"/>
    </row>
    <row r="109" spans="1:16" ht="21.95" customHeight="1" x14ac:dyDescent="0.25">
      <c r="A109" s="240" t="s">
        <v>229</v>
      </c>
      <c r="B109" s="207"/>
      <c r="C109" s="207"/>
      <c r="D109" s="207"/>
      <c r="E109" s="207"/>
      <c r="F109" s="207"/>
      <c r="G109" s="207"/>
    </row>
    <row r="110" spans="1:16" ht="6" customHeight="1" x14ac:dyDescent="0.25">
      <c r="A110" s="136"/>
      <c r="B110" s="136"/>
      <c r="C110" s="136"/>
      <c r="D110" s="136"/>
      <c r="E110" s="136"/>
      <c r="F110" s="136"/>
      <c r="G110" s="136"/>
      <c r="H110" s="136"/>
      <c r="I110" s="136"/>
      <c r="J110" s="136"/>
      <c r="K110" s="136"/>
      <c r="L110" s="136"/>
      <c r="M110" s="136"/>
      <c r="N110" s="136"/>
      <c r="O110" s="136"/>
      <c r="P110" s="136"/>
    </row>
    <row r="111" spans="1:16" ht="26.1" customHeight="1" x14ac:dyDescent="0.25">
      <c r="A111" s="218" t="s">
        <v>230</v>
      </c>
      <c r="B111" s="207"/>
      <c r="C111" s="207"/>
      <c r="D111" s="207"/>
      <c r="E111" s="207"/>
      <c r="F111" s="207"/>
      <c r="G111" s="207"/>
      <c r="I111" s="239" t="s">
        <v>231</v>
      </c>
      <c r="J111" s="207"/>
      <c r="K111" s="207"/>
      <c r="M111" s="237" t="s">
        <v>232</v>
      </c>
      <c r="N111" s="207"/>
      <c r="O111" s="207"/>
      <c r="P111" s="207"/>
    </row>
    <row r="112" spans="1:16" ht="20.100000000000001" customHeight="1" x14ac:dyDescent="0.25">
      <c r="A112" s="111" t="s">
        <v>172</v>
      </c>
      <c r="B112" s="112" t="s">
        <v>173</v>
      </c>
      <c r="C112" s="113" t="s">
        <v>174</v>
      </c>
      <c r="D112" s="114">
        <v>6.29</v>
      </c>
      <c r="E112" s="115" t="s">
        <v>175</v>
      </c>
      <c r="F112" s="116" t="s">
        <v>176</v>
      </c>
      <c r="G112" s="117" t="s">
        <v>177</v>
      </c>
      <c r="H112" s="118"/>
      <c r="I112" s="119"/>
      <c r="J112" s="119"/>
      <c r="K112" s="119"/>
      <c r="L112" s="118"/>
      <c r="M112" s="120" t="s">
        <v>178</v>
      </c>
      <c r="N112" s="121">
        <f>COUNTIF(E112:E126,"1 (Cardiac)")*6.29*2000+COUNTIF(E112:E126,"1 (Neuro)")*4.51*2000+COUNTIF(E112:E126,"1 (OBGYN)")*1.73*2000+COUNTIF(E112:E126,"1 (Ortho)")*1.58*2000+COUNTIF(E112:E126,"1 (ENT)")*0.63*2000</f>
        <v>12580</v>
      </c>
      <c r="O112" s="122">
        <v>0</v>
      </c>
      <c r="P112" s="122">
        <v>0</v>
      </c>
    </row>
    <row r="113" spans="1:16" ht="20.100000000000001" customHeight="1" x14ac:dyDescent="0.25">
      <c r="A113" s="123" t="s">
        <v>179</v>
      </c>
      <c r="B113" s="112" t="s">
        <v>173</v>
      </c>
      <c r="C113" s="131" t="s">
        <v>196</v>
      </c>
      <c r="D113" s="7"/>
      <c r="E113" s="132"/>
      <c r="F113" s="133"/>
      <c r="G113" s="134"/>
      <c r="H113" s="118"/>
      <c r="I113" s="124"/>
      <c r="J113" s="124"/>
      <c r="K113" s="124"/>
      <c r="L113" s="118"/>
      <c r="M113" s="120" t="s">
        <v>160</v>
      </c>
      <c r="N113" s="121">
        <f>COUNTIF(F112:F126,"2 (Float)")*6.29*300+COUNTIF(F112:F126,"1 (Float)")*1.65*300</f>
        <v>1887</v>
      </c>
      <c r="O113" s="122">
        <v>0</v>
      </c>
      <c r="P113" s="122">
        <v>0</v>
      </c>
    </row>
    <row r="114" spans="1:16" ht="20.100000000000001" customHeight="1" x14ac:dyDescent="0.25">
      <c r="A114" s="123" t="s">
        <v>181</v>
      </c>
      <c r="B114" s="112" t="s">
        <v>173</v>
      </c>
      <c r="C114" s="131" t="s">
        <v>196</v>
      </c>
      <c r="D114" s="7"/>
      <c r="E114" s="132"/>
      <c r="F114" s="133"/>
      <c r="G114" s="134"/>
      <c r="H114" s="118"/>
      <c r="I114" s="124"/>
      <c r="J114" s="124"/>
      <c r="K114" s="124"/>
      <c r="L114" s="118"/>
      <c r="M114" s="120" t="s">
        <v>161</v>
      </c>
      <c r="N114" s="121">
        <f>COUNTIF(G112:G126,"3 (Cardiac)")*6.29*200+COUNTIF(G112:G126,"3 (Neuro)")*4.51*200+COUNTIF(G112:G126,"2 (OBGYN)")*1.73*200+COUNTIF(G112:G126,"2 (Ortho)")*1.58*200+COUNTIF(G112:G126,"1 (ENT)")*0.63*200</f>
        <v>1258</v>
      </c>
      <c r="O114" s="122">
        <v>0</v>
      </c>
      <c r="P114" s="122">
        <v>0</v>
      </c>
    </row>
    <row r="115" spans="1:16" ht="20.100000000000001" customHeight="1" x14ac:dyDescent="0.25">
      <c r="A115" s="123" t="s">
        <v>185</v>
      </c>
      <c r="B115" s="112" t="s">
        <v>173</v>
      </c>
      <c r="C115" s="131" t="s">
        <v>196</v>
      </c>
      <c r="D115" s="7"/>
      <c r="E115" s="132"/>
      <c r="F115" s="133"/>
      <c r="G115" s="134"/>
      <c r="H115" s="118"/>
      <c r="I115" s="126"/>
      <c r="J115" s="126"/>
      <c r="K115" s="126"/>
      <c r="L115" s="118"/>
      <c r="M115" s="127" t="s">
        <v>190</v>
      </c>
      <c r="N115" s="128">
        <f>SUM(N112:N114)</f>
        <v>15725</v>
      </c>
      <c r="O115" s="1"/>
      <c r="P115" s="1"/>
    </row>
    <row r="116" spans="1:16" ht="20.100000000000001" customHeight="1" x14ac:dyDescent="0.25">
      <c r="A116" s="123" t="s">
        <v>191</v>
      </c>
      <c r="B116" s="112" t="s">
        <v>173</v>
      </c>
      <c r="C116" s="131" t="s">
        <v>196</v>
      </c>
      <c r="D116" s="7"/>
      <c r="E116" s="132"/>
      <c r="F116" s="133"/>
      <c r="G116" s="134"/>
      <c r="H116" s="118"/>
      <c r="I116" s="126"/>
      <c r="J116" s="126"/>
      <c r="K116" s="126"/>
      <c r="L116" s="118"/>
      <c r="M116" s="129"/>
      <c r="N116" s="129"/>
      <c r="O116" s="129"/>
      <c r="P116" s="129"/>
    </row>
    <row r="117" spans="1:16" ht="20.100000000000001" customHeight="1" x14ac:dyDescent="0.25">
      <c r="A117" s="111" t="s">
        <v>172</v>
      </c>
      <c r="B117" s="130" t="s">
        <v>195</v>
      </c>
      <c r="C117" s="131" t="s">
        <v>196</v>
      </c>
      <c r="D117" s="7"/>
      <c r="E117" s="132"/>
      <c r="F117" s="133"/>
      <c r="G117" s="134"/>
      <c r="H117" s="118"/>
      <c r="I117" s="126"/>
      <c r="J117" s="126"/>
      <c r="K117" s="126"/>
      <c r="L117" s="118"/>
      <c r="M117" s="129"/>
      <c r="N117" s="129"/>
      <c r="O117" s="129"/>
      <c r="P117" s="129"/>
    </row>
    <row r="118" spans="1:16" ht="20.100000000000001" customHeight="1" x14ac:dyDescent="0.25">
      <c r="A118" s="123" t="s">
        <v>179</v>
      </c>
      <c r="B118" s="130" t="s">
        <v>195</v>
      </c>
      <c r="C118" s="131" t="s">
        <v>196</v>
      </c>
      <c r="D118" s="7"/>
      <c r="E118" s="132"/>
      <c r="F118" s="133"/>
      <c r="G118" s="134"/>
      <c r="H118" s="118"/>
      <c r="I118" s="126"/>
      <c r="J118" s="126"/>
      <c r="K118" s="126"/>
      <c r="L118" s="118"/>
      <c r="M118" s="129"/>
      <c r="N118" s="129"/>
      <c r="O118" s="129"/>
      <c r="P118" s="129"/>
    </row>
    <row r="119" spans="1:16" ht="20.100000000000001" customHeight="1" x14ac:dyDescent="0.25">
      <c r="A119" s="123" t="s">
        <v>181</v>
      </c>
      <c r="B119" s="130" t="s">
        <v>195</v>
      </c>
      <c r="C119" s="131" t="s">
        <v>196</v>
      </c>
      <c r="D119" s="7"/>
      <c r="E119" s="132"/>
      <c r="F119" s="133"/>
      <c r="G119" s="134"/>
      <c r="H119" s="118"/>
      <c r="I119" s="126"/>
      <c r="J119" s="126"/>
      <c r="K119" s="126"/>
      <c r="L119" s="118"/>
      <c r="M119" s="129"/>
      <c r="N119" s="129"/>
      <c r="O119" s="129"/>
      <c r="P119" s="129"/>
    </row>
    <row r="120" spans="1:16" ht="20.100000000000001" customHeight="1" x14ac:dyDescent="0.25">
      <c r="A120" s="123" t="s">
        <v>185</v>
      </c>
      <c r="B120" s="130" t="s">
        <v>195</v>
      </c>
      <c r="C120" s="131" t="s">
        <v>196</v>
      </c>
      <c r="D120" s="7"/>
      <c r="E120" s="132"/>
      <c r="F120" s="133"/>
      <c r="G120" s="134"/>
      <c r="H120" s="118"/>
      <c r="I120" s="126"/>
      <c r="J120" s="126"/>
      <c r="K120" s="126"/>
      <c r="L120" s="118"/>
      <c r="M120" s="129"/>
      <c r="N120" s="129"/>
      <c r="O120" s="129"/>
      <c r="P120" s="129"/>
    </row>
    <row r="121" spans="1:16" ht="20.100000000000001" customHeight="1" x14ac:dyDescent="0.25">
      <c r="A121" s="123" t="s">
        <v>191</v>
      </c>
      <c r="B121" s="130" t="s">
        <v>195</v>
      </c>
      <c r="C121" s="131" t="s">
        <v>196</v>
      </c>
      <c r="D121" s="7"/>
      <c r="E121" s="132"/>
      <c r="F121" s="133"/>
      <c r="G121" s="134"/>
      <c r="H121" s="118"/>
      <c r="I121" s="126"/>
      <c r="J121" s="126"/>
      <c r="K121" s="126"/>
      <c r="L121" s="118"/>
      <c r="M121" s="129"/>
      <c r="N121" s="129"/>
      <c r="O121" s="129"/>
      <c r="P121" s="129"/>
    </row>
    <row r="122" spans="1:16" ht="20.100000000000001" customHeight="1" x14ac:dyDescent="0.25">
      <c r="A122" s="111" t="s">
        <v>172</v>
      </c>
      <c r="B122" s="135" t="s">
        <v>197</v>
      </c>
      <c r="C122" s="131" t="s">
        <v>196</v>
      </c>
      <c r="D122" s="7"/>
      <c r="E122" s="132"/>
      <c r="F122" s="133"/>
      <c r="G122" s="134"/>
      <c r="H122" s="118"/>
      <c r="I122" s="126"/>
      <c r="J122" s="126"/>
      <c r="K122" s="126"/>
      <c r="L122" s="118"/>
      <c r="M122" s="129"/>
      <c r="N122" s="129"/>
      <c r="O122" s="129"/>
      <c r="P122" s="129"/>
    </row>
    <row r="123" spans="1:16" ht="20.100000000000001" customHeight="1" x14ac:dyDescent="0.25">
      <c r="A123" s="123" t="s">
        <v>179</v>
      </c>
      <c r="B123" s="135" t="s">
        <v>197</v>
      </c>
      <c r="C123" s="131" t="s">
        <v>196</v>
      </c>
      <c r="D123" s="7"/>
      <c r="E123" s="132"/>
      <c r="F123" s="133"/>
      <c r="G123" s="134"/>
      <c r="H123" s="118"/>
      <c r="I123" s="126"/>
      <c r="J123" s="126"/>
      <c r="K123" s="126"/>
      <c r="L123" s="118"/>
      <c r="M123" s="129"/>
      <c r="N123" s="129"/>
      <c r="O123" s="129"/>
      <c r="P123" s="129"/>
    </row>
    <row r="124" spans="1:16" ht="20.100000000000001" customHeight="1" x14ac:dyDescent="0.25">
      <c r="A124" s="123" t="s">
        <v>181</v>
      </c>
      <c r="B124" s="135" t="s">
        <v>197</v>
      </c>
      <c r="C124" s="131" t="s">
        <v>196</v>
      </c>
      <c r="D124" s="7"/>
      <c r="E124" s="132"/>
      <c r="F124" s="133"/>
      <c r="G124" s="134"/>
      <c r="H124" s="118"/>
      <c r="I124" s="126"/>
      <c r="J124" s="126"/>
      <c r="K124" s="126"/>
      <c r="L124" s="118"/>
      <c r="M124" s="129"/>
      <c r="N124" s="129"/>
      <c r="O124" s="129"/>
      <c r="P124" s="129"/>
    </row>
    <row r="125" spans="1:16" ht="20.100000000000001" customHeight="1" x14ac:dyDescent="0.25">
      <c r="A125" s="123" t="s">
        <v>185</v>
      </c>
      <c r="B125" s="135" t="s">
        <v>197</v>
      </c>
      <c r="C125" s="131" t="s">
        <v>196</v>
      </c>
      <c r="D125" s="7"/>
      <c r="E125" s="132"/>
      <c r="F125" s="133"/>
      <c r="G125" s="134"/>
      <c r="H125" s="118"/>
      <c r="I125" s="126"/>
      <c r="J125" s="126"/>
      <c r="K125" s="126"/>
      <c r="L125" s="118"/>
      <c r="M125" s="129"/>
      <c r="N125" s="129"/>
      <c r="O125" s="129"/>
      <c r="P125" s="129"/>
    </row>
    <row r="126" spans="1:16" ht="20.100000000000001" customHeight="1" x14ac:dyDescent="0.25">
      <c r="A126" s="123" t="s">
        <v>191</v>
      </c>
      <c r="B126" s="135" t="s">
        <v>197</v>
      </c>
      <c r="C126" s="131" t="s">
        <v>196</v>
      </c>
      <c r="D126" s="7"/>
      <c r="E126" s="132"/>
      <c r="F126" s="133"/>
      <c r="G126" s="134"/>
      <c r="H126" s="118"/>
      <c r="I126" s="126"/>
      <c r="J126" s="126"/>
      <c r="K126" s="126"/>
      <c r="L126" s="118"/>
      <c r="M126" s="129"/>
      <c r="N126" s="129"/>
      <c r="O126" s="129"/>
      <c r="P126" s="129"/>
    </row>
    <row r="127" spans="1:16" ht="21.95" customHeight="1" x14ac:dyDescent="0.25">
      <c r="A127" s="243" t="s">
        <v>233</v>
      </c>
      <c r="B127" s="207"/>
      <c r="C127" s="207"/>
      <c r="D127" s="207"/>
      <c r="E127" s="207"/>
      <c r="F127" s="207"/>
      <c r="G127" s="207"/>
    </row>
    <row r="128" spans="1:16" ht="6" customHeight="1" x14ac:dyDescent="0.25">
      <c r="A128" s="136"/>
      <c r="B128" s="136"/>
      <c r="C128" s="136"/>
      <c r="D128" s="136"/>
      <c r="E128" s="136"/>
      <c r="F128" s="136"/>
      <c r="G128" s="136"/>
      <c r="H128" s="136"/>
      <c r="I128" s="136"/>
      <c r="J128" s="136"/>
      <c r="K128" s="136"/>
      <c r="L128" s="136"/>
      <c r="M128" s="136"/>
      <c r="N128" s="136"/>
      <c r="O128" s="136"/>
      <c r="P128" s="136"/>
    </row>
  </sheetData>
  <mergeCells count="29">
    <mergeCell ref="A1:P1"/>
    <mergeCell ref="A75:G75"/>
    <mergeCell ref="A37:G37"/>
    <mergeCell ref="M75:P75"/>
    <mergeCell ref="A3:G3"/>
    <mergeCell ref="A21:G21"/>
    <mergeCell ref="A55:G55"/>
    <mergeCell ref="M21:P21"/>
    <mergeCell ref="I57:K57"/>
    <mergeCell ref="A57:G57"/>
    <mergeCell ref="A111:G111"/>
    <mergeCell ref="I111:K111"/>
    <mergeCell ref="M93:P93"/>
    <mergeCell ref="A127:G127"/>
    <mergeCell ref="A39:G39"/>
    <mergeCell ref="I39:K39"/>
    <mergeCell ref="M111:P111"/>
    <mergeCell ref="A73:G73"/>
    <mergeCell ref="M39:P39"/>
    <mergeCell ref="M3:P3"/>
    <mergeCell ref="A91:G91"/>
    <mergeCell ref="I75:K75"/>
    <mergeCell ref="A109:G109"/>
    <mergeCell ref="M57:P57"/>
    <mergeCell ref="I93:K93"/>
    <mergeCell ref="I3:K3"/>
    <mergeCell ref="I21:K21"/>
    <mergeCell ref="A19:G19"/>
    <mergeCell ref="A93:G93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1A5E30"/>
  </sheetPr>
  <dimension ref="A1:I64"/>
  <sheetViews>
    <sheetView showGridLines="0" workbookViewId="0">
      <pane ySplit="2" topLeftCell="A3" activePane="bottomLeft" state="frozen"/>
      <selection pane="bottomLeft"/>
    </sheetView>
  </sheetViews>
  <sheetFormatPr defaultRowHeight="15" x14ac:dyDescent="0.25"/>
  <cols>
    <col min="1" max="1" width="14" customWidth="1"/>
    <col min="2" max="3" width="22" customWidth="1"/>
    <col min="4" max="4" width="16" customWidth="1"/>
    <col min="5" max="5" width="15" customWidth="1"/>
    <col min="6" max="6" width="14" customWidth="1"/>
    <col min="7" max="8" width="16" customWidth="1"/>
    <col min="9" max="9" width="10" customWidth="1"/>
  </cols>
  <sheetData>
    <row r="1" spans="1:9" ht="30" customHeight="1" x14ac:dyDescent="0.25">
      <c r="A1" s="246" t="s">
        <v>234</v>
      </c>
      <c r="B1" s="207"/>
      <c r="C1" s="207"/>
      <c r="D1" s="207"/>
      <c r="E1" s="207"/>
      <c r="F1" s="207"/>
      <c r="G1" s="207"/>
      <c r="H1" s="207"/>
      <c r="I1" s="207"/>
    </row>
    <row r="2" spans="1:9" ht="21.95" customHeight="1" x14ac:dyDescent="0.25">
      <c r="A2" s="33" t="s">
        <v>235</v>
      </c>
      <c r="B2" s="33" t="s">
        <v>236</v>
      </c>
      <c r="C2" s="33" t="s">
        <v>80</v>
      </c>
      <c r="D2" s="33" t="s">
        <v>237</v>
      </c>
      <c r="E2" s="33" t="s">
        <v>82</v>
      </c>
      <c r="F2" s="33" t="s">
        <v>238</v>
      </c>
      <c r="G2" s="33" t="s">
        <v>86</v>
      </c>
      <c r="H2" s="33" t="s">
        <v>239</v>
      </c>
      <c r="I2" s="33" t="s">
        <v>240</v>
      </c>
    </row>
    <row r="3" spans="1:9" ht="18" customHeight="1" x14ac:dyDescent="0.25">
      <c r="A3" s="139" t="s">
        <v>241</v>
      </c>
      <c r="B3" s="140" t="s">
        <v>242</v>
      </c>
      <c r="C3" s="141" t="s">
        <v>96</v>
      </c>
      <c r="D3" s="142">
        <f>Dashboard!B29</f>
        <v>2000</v>
      </c>
      <c r="E3" s="142">
        <f>Dashboard!C29</f>
        <v>3500</v>
      </c>
      <c r="F3" s="143">
        <f>Dashboard!E29</f>
        <v>80</v>
      </c>
      <c r="G3" s="144" t="s">
        <v>97</v>
      </c>
      <c r="H3" s="143"/>
      <c r="I3" s="143"/>
    </row>
    <row r="4" spans="1:9" ht="18" customHeight="1" x14ac:dyDescent="0.25">
      <c r="A4" s="139" t="s">
        <v>243</v>
      </c>
      <c r="B4" s="140" t="s">
        <v>244</v>
      </c>
      <c r="C4" s="141" t="s">
        <v>96</v>
      </c>
      <c r="D4" s="142">
        <f>Dashboard!B29</f>
        <v>2000</v>
      </c>
      <c r="E4" s="142">
        <f>Dashboard!C29</f>
        <v>3500</v>
      </c>
      <c r="F4" s="143">
        <f>Dashboard!E29</f>
        <v>80</v>
      </c>
      <c r="G4" s="144" t="s">
        <v>97</v>
      </c>
      <c r="H4" s="143"/>
      <c r="I4" s="143"/>
    </row>
    <row r="5" spans="1:9" ht="18" customHeight="1" x14ac:dyDescent="0.25">
      <c r="A5" s="139" t="s">
        <v>245</v>
      </c>
      <c r="B5" s="140" t="s">
        <v>246</v>
      </c>
      <c r="C5" s="141" t="s">
        <v>96</v>
      </c>
      <c r="D5" s="142">
        <f>Dashboard!B29</f>
        <v>2000</v>
      </c>
      <c r="E5" s="142">
        <f>Dashboard!C29</f>
        <v>3500</v>
      </c>
      <c r="F5" s="143">
        <f>Dashboard!E29</f>
        <v>80</v>
      </c>
      <c r="G5" s="144" t="s">
        <v>97</v>
      </c>
      <c r="H5" s="143"/>
      <c r="I5" s="143"/>
    </row>
    <row r="6" spans="1:9" ht="18" customHeight="1" x14ac:dyDescent="0.25">
      <c r="A6" s="139" t="s">
        <v>247</v>
      </c>
      <c r="B6" s="140" t="s">
        <v>248</v>
      </c>
      <c r="C6" s="141" t="s">
        <v>96</v>
      </c>
      <c r="D6" s="142">
        <f>Dashboard!B29</f>
        <v>2000</v>
      </c>
      <c r="E6" s="142">
        <f>Dashboard!C29</f>
        <v>3500</v>
      </c>
      <c r="F6" s="143">
        <f>Dashboard!E29</f>
        <v>80</v>
      </c>
      <c r="G6" s="144" t="s">
        <v>97</v>
      </c>
      <c r="H6" s="143"/>
      <c r="I6" s="143"/>
    </row>
    <row r="7" spans="1:9" ht="18" customHeight="1" x14ac:dyDescent="0.25">
      <c r="A7" s="139" t="s">
        <v>249</v>
      </c>
      <c r="B7" s="140" t="s">
        <v>250</v>
      </c>
      <c r="C7" s="141" t="s">
        <v>96</v>
      </c>
      <c r="D7" s="142">
        <f>Dashboard!B29</f>
        <v>2000</v>
      </c>
      <c r="E7" s="142">
        <f>Dashboard!C29</f>
        <v>3500</v>
      </c>
      <c r="F7" s="143">
        <f>Dashboard!E29</f>
        <v>80</v>
      </c>
      <c r="G7" s="144" t="s">
        <v>97</v>
      </c>
      <c r="H7" s="143"/>
      <c r="I7" s="143"/>
    </row>
    <row r="8" spans="1:9" ht="18" customHeight="1" x14ac:dyDescent="0.25">
      <c r="A8" s="139" t="s">
        <v>251</v>
      </c>
      <c r="B8" s="140" t="s">
        <v>252</v>
      </c>
      <c r="C8" s="141" t="s">
        <v>96</v>
      </c>
      <c r="D8" s="142">
        <f>Dashboard!B29</f>
        <v>2000</v>
      </c>
      <c r="E8" s="142">
        <f>Dashboard!C29</f>
        <v>3500</v>
      </c>
      <c r="F8" s="143">
        <f>Dashboard!E29</f>
        <v>80</v>
      </c>
      <c r="G8" s="145" t="s">
        <v>101</v>
      </c>
      <c r="H8" s="143"/>
      <c r="I8" s="143"/>
    </row>
    <row r="9" spans="1:9" ht="18" customHeight="1" x14ac:dyDescent="0.25">
      <c r="A9" s="139" t="s">
        <v>253</v>
      </c>
      <c r="B9" s="140" t="s">
        <v>254</v>
      </c>
      <c r="C9" s="141" t="s">
        <v>96</v>
      </c>
      <c r="D9" s="142">
        <f>Dashboard!B29</f>
        <v>2000</v>
      </c>
      <c r="E9" s="142">
        <f>Dashboard!C29</f>
        <v>3500</v>
      </c>
      <c r="F9" s="143">
        <f>Dashboard!E29</f>
        <v>80</v>
      </c>
      <c r="G9" s="145" t="s">
        <v>101</v>
      </c>
      <c r="H9" s="143"/>
      <c r="I9" s="143"/>
    </row>
    <row r="10" spans="1:9" ht="18" customHeight="1" x14ac:dyDescent="0.25">
      <c r="A10" s="139" t="s">
        <v>255</v>
      </c>
      <c r="B10" s="140" t="s">
        <v>256</v>
      </c>
      <c r="C10" s="141" t="s">
        <v>96</v>
      </c>
      <c r="D10" s="142">
        <f>Dashboard!B29</f>
        <v>2000</v>
      </c>
      <c r="E10" s="142">
        <f>Dashboard!C29</f>
        <v>3500</v>
      </c>
      <c r="F10" s="143">
        <f>Dashboard!E29</f>
        <v>80</v>
      </c>
      <c r="G10" s="145" t="s">
        <v>101</v>
      </c>
      <c r="H10" s="143"/>
      <c r="I10" s="143"/>
    </row>
    <row r="11" spans="1:9" ht="18" customHeight="1" x14ac:dyDescent="0.25">
      <c r="A11" s="139" t="s">
        <v>257</v>
      </c>
      <c r="B11" s="140" t="s">
        <v>258</v>
      </c>
      <c r="C11" s="141" t="s">
        <v>96</v>
      </c>
      <c r="D11" s="142">
        <f>Dashboard!B29</f>
        <v>2000</v>
      </c>
      <c r="E11" s="142">
        <f>Dashboard!C29</f>
        <v>3500</v>
      </c>
      <c r="F11" s="143">
        <f>Dashboard!E29</f>
        <v>80</v>
      </c>
      <c r="G11" s="145" t="s">
        <v>101</v>
      </c>
      <c r="H11" s="143"/>
      <c r="I11" s="143"/>
    </row>
    <row r="12" spans="1:9" ht="18" customHeight="1" x14ac:dyDescent="0.25">
      <c r="A12" s="139" t="s">
        <v>259</v>
      </c>
      <c r="B12" s="140" t="s">
        <v>260</v>
      </c>
      <c r="C12" s="141" t="s">
        <v>96</v>
      </c>
      <c r="D12" s="142">
        <f>Dashboard!B29</f>
        <v>2000</v>
      </c>
      <c r="E12" s="142">
        <f>Dashboard!C29</f>
        <v>3500</v>
      </c>
      <c r="F12" s="143">
        <f>Dashboard!E29</f>
        <v>80</v>
      </c>
      <c r="G12" s="145" t="s">
        <v>101</v>
      </c>
      <c r="H12" s="143"/>
      <c r="I12" s="143"/>
    </row>
    <row r="13" spans="1:9" ht="18" customHeight="1" x14ac:dyDescent="0.25">
      <c r="A13" s="139" t="s">
        <v>261</v>
      </c>
      <c r="B13" s="140" t="s">
        <v>262</v>
      </c>
      <c r="C13" s="141" t="s">
        <v>96</v>
      </c>
      <c r="D13" s="142">
        <f>Dashboard!B29</f>
        <v>2000</v>
      </c>
      <c r="E13" s="142">
        <f>Dashboard!C29</f>
        <v>3500</v>
      </c>
      <c r="F13" s="143">
        <f>Dashboard!E29</f>
        <v>80</v>
      </c>
      <c r="G13" s="146" t="s">
        <v>105</v>
      </c>
      <c r="H13" s="143"/>
      <c r="I13" s="143"/>
    </row>
    <row r="14" spans="1:9" ht="18" customHeight="1" x14ac:dyDescent="0.25">
      <c r="A14" s="139" t="s">
        <v>263</v>
      </c>
      <c r="B14" s="140" t="s">
        <v>264</v>
      </c>
      <c r="C14" s="141" t="s">
        <v>96</v>
      </c>
      <c r="D14" s="142">
        <f>Dashboard!B29</f>
        <v>2000</v>
      </c>
      <c r="E14" s="142">
        <f>Dashboard!C29</f>
        <v>3500</v>
      </c>
      <c r="F14" s="143">
        <f>Dashboard!E29</f>
        <v>80</v>
      </c>
      <c r="G14" s="146" t="s">
        <v>105</v>
      </c>
      <c r="H14" s="143"/>
      <c r="I14" s="143"/>
    </row>
    <row r="15" spans="1:9" ht="18" customHeight="1" x14ac:dyDescent="0.25">
      <c r="A15" s="139" t="s">
        <v>265</v>
      </c>
      <c r="B15" s="140" t="s">
        <v>266</v>
      </c>
      <c r="C15" s="141" t="s">
        <v>96</v>
      </c>
      <c r="D15" s="142">
        <f>Dashboard!B29</f>
        <v>2000</v>
      </c>
      <c r="E15" s="142">
        <f>Dashboard!C29</f>
        <v>3500</v>
      </c>
      <c r="F15" s="143">
        <f>Dashboard!E29</f>
        <v>80</v>
      </c>
      <c r="G15" s="146" t="s">
        <v>105</v>
      </c>
      <c r="H15" s="143"/>
      <c r="I15" s="143"/>
    </row>
    <row r="16" spans="1:9" ht="18" customHeight="1" x14ac:dyDescent="0.25">
      <c r="A16" s="139" t="s">
        <v>267</v>
      </c>
      <c r="B16" s="140" t="s">
        <v>268</v>
      </c>
      <c r="C16" s="141" t="s">
        <v>96</v>
      </c>
      <c r="D16" s="142">
        <f>Dashboard!B29</f>
        <v>2000</v>
      </c>
      <c r="E16" s="142">
        <f>Dashboard!C29</f>
        <v>3500</v>
      </c>
      <c r="F16" s="143">
        <f>Dashboard!E29</f>
        <v>80</v>
      </c>
      <c r="G16" s="146" t="s">
        <v>105</v>
      </c>
      <c r="H16" s="143"/>
      <c r="I16" s="143"/>
    </row>
    <row r="17" spans="1:9" ht="18" customHeight="1" x14ac:dyDescent="0.25">
      <c r="A17" s="139" t="s">
        <v>269</v>
      </c>
      <c r="B17" s="140" t="s">
        <v>270</v>
      </c>
      <c r="C17" s="141" t="s">
        <v>96</v>
      </c>
      <c r="D17" s="142">
        <f>Dashboard!B29</f>
        <v>2000</v>
      </c>
      <c r="E17" s="142">
        <f>Dashboard!C29</f>
        <v>3500</v>
      </c>
      <c r="F17" s="143">
        <f>Dashboard!E29</f>
        <v>80</v>
      </c>
      <c r="G17" s="146" t="s">
        <v>105</v>
      </c>
      <c r="H17" s="143"/>
      <c r="I17" s="143"/>
    </row>
    <row r="18" spans="1:9" ht="18" customHeight="1" x14ac:dyDescent="0.25">
      <c r="A18" s="139" t="s">
        <v>271</v>
      </c>
      <c r="B18" s="140" t="s">
        <v>272</v>
      </c>
      <c r="C18" s="141" t="s">
        <v>96</v>
      </c>
      <c r="D18" s="142">
        <f>Dashboard!B29</f>
        <v>2000</v>
      </c>
      <c r="E18" s="142">
        <f>Dashboard!C29</f>
        <v>3500</v>
      </c>
      <c r="F18" s="143">
        <f>Dashboard!E29</f>
        <v>80</v>
      </c>
      <c r="G18" s="147" t="s">
        <v>108</v>
      </c>
      <c r="H18" s="143"/>
      <c r="I18" s="143"/>
    </row>
    <row r="19" spans="1:9" ht="18" customHeight="1" x14ac:dyDescent="0.25">
      <c r="A19" s="139" t="s">
        <v>273</v>
      </c>
      <c r="B19" s="140" t="s">
        <v>274</v>
      </c>
      <c r="C19" s="141" t="s">
        <v>96</v>
      </c>
      <c r="D19" s="142">
        <f>Dashboard!B29</f>
        <v>2000</v>
      </c>
      <c r="E19" s="142">
        <f>Dashboard!C29</f>
        <v>3500</v>
      </c>
      <c r="F19" s="143">
        <f>Dashboard!E29</f>
        <v>80</v>
      </c>
      <c r="G19" s="147" t="s">
        <v>108</v>
      </c>
      <c r="H19" s="143"/>
      <c r="I19" s="143"/>
    </row>
    <row r="20" spans="1:9" ht="18" customHeight="1" x14ac:dyDescent="0.25">
      <c r="A20" s="139" t="s">
        <v>275</v>
      </c>
      <c r="B20" s="140" t="s">
        <v>276</v>
      </c>
      <c r="C20" s="141" t="s">
        <v>96</v>
      </c>
      <c r="D20" s="142">
        <f>Dashboard!B29</f>
        <v>2000</v>
      </c>
      <c r="E20" s="142">
        <f>Dashboard!C29</f>
        <v>3500</v>
      </c>
      <c r="F20" s="143">
        <f>Dashboard!E29</f>
        <v>80</v>
      </c>
      <c r="G20" s="147" t="s">
        <v>108</v>
      </c>
      <c r="H20" s="143"/>
      <c r="I20" s="143"/>
    </row>
    <row r="21" spans="1:9" ht="18" customHeight="1" x14ac:dyDescent="0.25">
      <c r="A21" s="139" t="s">
        <v>277</v>
      </c>
      <c r="B21" s="140" t="s">
        <v>278</v>
      </c>
      <c r="C21" s="141" t="s">
        <v>96</v>
      </c>
      <c r="D21" s="142">
        <f>Dashboard!B29</f>
        <v>2000</v>
      </c>
      <c r="E21" s="142">
        <f>Dashboard!C29</f>
        <v>3500</v>
      </c>
      <c r="F21" s="143">
        <f>Dashboard!E29</f>
        <v>80</v>
      </c>
      <c r="G21" s="147" t="s">
        <v>108</v>
      </c>
      <c r="H21" s="143"/>
      <c r="I21" s="143"/>
    </row>
    <row r="22" spans="1:9" ht="18" customHeight="1" x14ac:dyDescent="0.25">
      <c r="A22" s="139" t="s">
        <v>279</v>
      </c>
      <c r="B22" s="140" t="s">
        <v>280</v>
      </c>
      <c r="C22" s="141" t="s">
        <v>96</v>
      </c>
      <c r="D22" s="142">
        <f>Dashboard!B29</f>
        <v>2000</v>
      </c>
      <c r="E22" s="142">
        <f>Dashboard!C29</f>
        <v>3500</v>
      </c>
      <c r="F22" s="143">
        <f>Dashboard!E29</f>
        <v>80</v>
      </c>
      <c r="G22" s="147" t="s">
        <v>108</v>
      </c>
      <c r="H22" s="143"/>
      <c r="I22" s="143"/>
    </row>
    <row r="23" spans="1:9" ht="18" customHeight="1" x14ac:dyDescent="0.25">
      <c r="A23" s="139" t="s">
        <v>281</v>
      </c>
      <c r="B23" s="140" t="s">
        <v>282</v>
      </c>
      <c r="C23" s="141" t="s">
        <v>96</v>
      </c>
      <c r="D23" s="142">
        <f>Dashboard!B29</f>
        <v>2000</v>
      </c>
      <c r="E23" s="142">
        <f>Dashboard!C29</f>
        <v>3500</v>
      </c>
      <c r="F23" s="143">
        <f>Dashboard!E29</f>
        <v>80</v>
      </c>
      <c r="G23" s="148" t="s">
        <v>111</v>
      </c>
      <c r="H23" s="143"/>
      <c r="I23" s="143"/>
    </row>
    <row r="24" spans="1:9" ht="18" customHeight="1" x14ac:dyDescent="0.25">
      <c r="A24" s="139" t="s">
        <v>283</v>
      </c>
      <c r="B24" s="140" t="s">
        <v>284</v>
      </c>
      <c r="C24" s="141" t="s">
        <v>96</v>
      </c>
      <c r="D24" s="142">
        <f>Dashboard!B29</f>
        <v>2000</v>
      </c>
      <c r="E24" s="142">
        <f>Dashboard!C29</f>
        <v>3500</v>
      </c>
      <c r="F24" s="143">
        <f>Dashboard!E29</f>
        <v>80</v>
      </c>
      <c r="G24" s="148" t="s">
        <v>111</v>
      </c>
      <c r="H24" s="143"/>
      <c r="I24" s="143"/>
    </row>
    <row r="25" spans="1:9" ht="18" customHeight="1" x14ac:dyDescent="0.25">
      <c r="A25" s="139" t="s">
        <v>285</v>
      </c>
      <c r="B25" s="140" t="s">
        <v>286</v>
      </c>
      <c r="C25" s="141" t="s">
        <v>96</v>
      </c>
      <c r="D25" s="142">
        <f>Dashboard!B29</f>
        <v>2000</v>
      </c>
      <c r="E25" s="142">
        <f>Dashboard!C29</f>
        <v>3500</v>
      </c>
      <c r="F25" s="143">
        <f>Dashboard!E29</f>
        <v>80</v>
      </c>
      <c r="G25" s="148" t="s">
        <v>111</v>
      </c>
      <c r="H25" s="143"/>
      <c r="I25" s="143"/>
    </row>
    <row r="26" spans="1:9" ht="18" customHeight="1" x14ac:dyDescent="0.25">
      <c r="A26" s="149" t="s">
        <v>287</v>
      </c>
      <c r="B26" s="150" t="s">
        <v>288</v>
      </c>
      <c r="C26" s="151" t="s">
        <v>100</v>
      </c>
      <c r="D26" s="152">
        <f>Dashboard!B30</f>
        <v>300</v>
      </c>
      <c r="E26" s="152">
        <f>Dashboard!C30</f>
        <v>600</v>
      </c>
      <c r="F26" s="153">
        <f>Dashboard!E30</f>
        <v>80</v>
      </c>
      <c r="G26" s="154" t="s">
        <v>289</v>
      </c>
      <c r="H26" s="153"/>
      <c r="I26" s="153"/>
    </row>
    <row r="27" spans="1:9" ht="18" customHeight="1" x14ac:dyDescent="0.25">
      <c r="A27" s="149" t="s">
        <v>290</v>
      </c>
      <c r="B27" s="150" t="s">
        <v>291</v>
      </c>
      <c r="C27" s="151" t="s">
        <v>100</v>
      </c>
      <c r="D27" s="152">
        <f>Dashboard!B30</f>
        <v>300</v>
      </c>
      <c r="E27" s="152">
        <f>Dashboard!C30</f>
        <v>600</v>
      </c>
      <c r="F27" s="153">
        <f>Dashboard!E30</f>
        <v>80</v>
      </c>
      <c r="G27" s="154" t="s">
        <v>289</v>
      </c>
      <c r="H27" s="153"/>
      <c r="I27" s="153"/>
    </row>
    <row r="28" spans="1:9" ht="18" customHeight="1" x14ac:dyDescent="0.25">
      <c r="A28" s="149" t="s">
        <v>292</v>
      </c>
      <c r="B28" s="150" t="s">
        <v>293</v>
      </c>
      <c r="C28" s="151" t="s">
        <v>100</v>
      </c>
      <c r="D28" s="152">
        <f>Dashboard!B30</f>
        <v>300</v>
      </c>
      <c r="E28" s="152">
        <f>Dashboard!C30</f>
        <v>600</v>
      </c>
      <c r="F28" s="153">
        <f>Dashboard!E30</f>
        <v>80</v>
      </c>
      <c r="G28" s="154" t="s">
        <v>289</v>
      </c>
      <c r="H28" s="153"/>
      <c r="I28" s="153"/>
    </row>
    <row r="29" spans="1:9" ht="18" customHeight="1" x14ac:dyDescent="0.25">
      <c r="A29" s="149" t="s">
        <v>294</v>
      </c>
      <c r="B29" s="150" t="s">
        <v>295</v>
      </c>
      <c r="C29" s="151" t="s">
        <v>100</v>
      </c>
      <c r="D29" s="152">
        <f>Dashboard!B30</f>
        <v>300</v>
      </c>
      <c r="E29" s="152">
        <f>Dashboard!C30</f>
        <v>600</v>
      </c>
      <c r="F29" s="153">
        <f>Dashboard!E30</f>
        <v>80</v>
      </c>
      <c r="G29" s="154" t="s">
        <v>289</v>
      </c>
      <c r="H29" s="153"/>
      <c r="I29" s="153"/>
    </row>
    <row r="30" spans="1:9" ht="18" customHeight="1" x14ac:dyDescent="0.25">
      <c r="A30" s="149" t="s">
        <v>296</v>
      </c>
      <c r="B30" s="150" t="s">
        <v>297</v>
      </c>
      <c r="C30" s="151" t="s">
        <v>100</v>
      </c>
      <c r="D30" s="152">
        <f>Dashboard!B30</f>
        <v>300</v>
      </c>
      <c r="E30" s="152">
        <f>Dashboard!C30</f>
        <v>600</v>
      </c>
      <c r="F30" s="153">
        <f>Dashboard!E30</f>
        <v>80</v>
      </c>
      <c r="G30" s="154" t="s">
        <v>289</v>
      </c>
      <c r="H30" s="153"/>
      <c r="I30" s="153"/>
    </row>
    <row r="31" spans="1:9" ht="18" customHeight="1" x14ac:dyDescent="0.25">
      <c r="A31" s="149" t="s">
        <v>298</v>
      </c>
      <c r="B31" s="150" t="s">
        <v>299</v>
      </c>
      <c r="C31" s="151" t="s">
        <v>100</v>
      </c>
      <c r="D31" s="152">
        <f>Dashboard!B30</f>
        <v>300</v>
      </c>
      <c r="E31" s="152">
        <f>Dashboard!C30</f>
        <v>600</v>
      </c>
      <c r="F31" s="153">
        <f>Dashboard!E30</f>
        <v>80</v>
      </c>
      <c r="G31" s="154" t="s">
        <v>289</v>
      </c>
      <c r="H31" s="153"/>
      <c r="I31" s="153"/>
    </row>
    <row r="32" spans="1:9" ht="18" customHeight="1" x14ac:dyDescent="0.25">
      <c r="A32" s="149" t="s">
        <v>300</v>
      </c>
      <c r="B32" s="150" t="s">
        <v>301</v>
      </c>
      <c r="C32" s="151" t="s">
        <v>100</v>
      </c>
      <c r="D32" s="152">
        <f>Dashboard!B30</f>
        <v>300</v>
      </c>
      <c r="E32" s="152">
        <f>Dashboard!C30</f>
        <v>600</v>
      </c>
      <c r="F32" s="153">
        <f>Dashboard!E30</f>
        <v>80</v>
      </c>
      <c r="G32" s="154" t="s">
        <v>289</v>
      </c>
      <c r="H32" s="153"/>
      <c r="I32" s="153"/>
    </row>
    <row r="33" spans="1:9" ht="18" customHeight="1" x14ac:dyDescent="0.25">
      <c r="A33" s="149" t="s">
        <v>302</v>
      </c>
      <c r="B33" s="150" t="s">
        <v>303</v>
      </c>
      <c r="C33" s="151" t="s">
        <v>100</v>
      </c>
      <c r="D33" s="152">
        <f>Dashboard!B30</f>
        <v>300</v>
      </c>
      <c r="E33" s="152">
        <f>Dashboard!C30</f>
        <v>600</v>
      </c>
      <c r="F33" s="153">
        <f>Dashboard!E30</f>
        <v>80</v>
      </c>
      <c r="G33" s="154" t="s">
        <v>289</v>
      </c>
      <c r="H33" s="153"/>
      <c r="I33" s="153"/>
    </row>
    <row r="34" spans="1:9" ht="18" customHeight="1" x14ac:dyDescent="0.25">
      <c r="A34" s="149" t="s">
        <v>304</v>
      </c>
      <c r="B34" s="150" t="s">
        <v>305</v>
      </c>
      <c r="C34" s="151" t="s">
        <v>100</v>
      </c>
      <c r="D34" s="152">
        <f>Dashboard!B30</f>
        <v>300</v>
      </c>
      <c r="E34" s="152">
        <f>Dashboard!C30</f>
        <v>600</v>
      </c>
      <c r="F34" s="153">
        <f>Dashboard!E30</f>
        <v>80</v>
      </c>
      <c r="G34" s="154" t="s">
        <v>289</v>
      </c>
      <c r="H34" s="153"/>
      <c r="I34" s="153"/>
    </row>
    <row r="35" spans="1:9" ht="18" customHeight="1" x14ac:dyDescent="0.25">
      <c r="A35" s="149" t="s">
        <v>306</v>
      </c>
      <c r="B35" s="150" t="s">
        <v>307</v>
      </c>
      <c r="C35" s="151" t="s">
        <v>100</v>
      </c>
      <c r="D35" s="152">
        <f>Dashboard!B30</f>
        <v>300</v>
      </c>
      <c r="E35" s="152">
        <f>Dashboard!C30</f>
        <v>600</v>
      </c>
      <c r="F35" s="153">
        <f>Dashboard!E30</f>
        <v>80</v>
      </c>
      <c r="G35" s="154" t="s">
        <v>289</v>
      </c>
      <c r="H35" s="153"/>
      <c r="I35" s="153"/>
    </row>
    <row r="36" spans="1:9" ht="18" customHeight="1" x14ac:dyDescent="0.25">
      <c r="A36" s="149" t="s">
        <v>308</v>
      </c>
      <c r="B36" s="150" t="s">
        <v>309</v>
      </c>
      <c r="C36" s="151" t="s">
        <v>100</v>
      </c>
      <c r="D36" s="152">
        <f>Dashboard!B30</f>
        <v>300</v>
      </c>
      <c r="E36" s="152">
        <f>Dashboard!C30</f>
        <v>600</v>
      </c>
      <c r="F36" s="153">
        <f>Dashboard!E30</f>
        <v>80</v>
      </c>
      <c r="G36" s="154" t="s">
        <v>289</v>
      </c>
      <c r="H36" s="153"/>
      <c r="I36" s="153"/>
    </row>
    <row r="37" spans="1:9" ht="18" customHeight="1" x14ac:dyDescent="0.25">
      <c r="A37" s="149" t="s">
        <v>310</v>
      </c>
      <c r="B37" s="150" t="s">
        <v>311</v>
      </c>
      <c r="C37" s="151" t="s">
        <v>100</v>
      </c>
      <c r="D37" s="152">
        <f>Dashboard!B30</f>
        <v>300</v>
      </c>
      <c r="E37" s="152">
        <f>Dashboard!C30</f>
        <v>600</v>
      </c>
      <c r="F37" s="153">
        <f>Dashboard!E30</f>
        <v>80</v>
      </c>
      <c r="G37" s="154" t="s">
        <v>289</v>
      </c>
      <c r="H37" s="153"/>
      <c r="I37" s="153"/>
    </row>
    <row r="38" spans="1:9" ht="18" customHeight="1" x14ac:dyDescent="0.25">
      <c r="A38" s="149" t="s">
        <v>312</v>
      </c>
      <c r="B38" s="150" t="s">
        <v>313</v>
      </c>
      <c r="C38" s="151" t="s">
        <v>100</v>
      </c>
      <c r="D38" s="152">
        <f>Dashboard!B30</f>
        <v>300</v>
      </c>
      <c r="E38" s="152">
        <f>Dashboard!C30</f>
        <v>600</v>
      </c>
      <c r="F38" s="153">
        <f>Dashboard!E30</f>
        <v>80</v>
      </c>
      <c r="G38" s="154" t="s">
        <v>289</v>
      </c>
      <c r="H38" s="153"/>
      <c r="I38" s="153"/>
    </row>
    <row r="39" spans="1:9" ht="18" customHeight="1" x14ac:dyDescent="0.25">
      <c r="A39" s="149" t="s">
        <v>314</v>
      </c>
      <c r="B39" s="150" t="s">
        <v>315</v>
      </c>
      <c r="C39" s="151" t="s">
        <v>100</v>
      </c>
      <c r="D39" s="152">
        <f>Dashboard!B30</f>
        <v>300</v>
      </c>
      <c r="E39" s="152">
        <f>Dashboard!C30</f>
        <v>600</v>
      </c>
      <c r="F39" s="153">
        <f>Dashboard!E30</f>
        <v>80</v>
      </c>
      <c r="G39" s="154" t="s">
        <v>289</v>
      </c>
      <c r="H39" s="153"/>
      <c r="I39" s="153"/>
    </row>
    <row r="40" spans="1:9" ht="18" customHeight="1" x14ac:dyDescent="0.25">
      <c r="A40" s="149" t="s">
        <v>316</v>
      </c>
      <c r="B40" s="150" t="s">
        <v>317</v>
      </c>
      <c r="C40" s="151" t="s">
        <v>100</v>
      </c>
      <c r="D40" s="152">
        <f>Dashboard!B30</f>
        <v>300</v>
      </c>
      <c r="E40" s="152">
        <f>Dashboard!C30</f>
        <v>600</v>
      </c>
      <c r="F40" s="153">
        <f>Dashboard!E30</f>
        <v>80</v>
      </c>
      <c r="G40" s="154" t="s">
        <v>289</v>
      </c>
      <c r="H40" s="153"/>
      <c r="I40" s="153"/>
    </row>
    <row r="41" spans="1:9" ht="18" customHeight="1" x14ac:dyDescent="0.25">
      <c r="A41" s="155" t="s">
        <v>318</v>
      </c>
      <c r="B41" s="156" t="s">
        <v>319</v>
      </c>
      <c r="C41" s="157" t="s">
        <v>104</v>
      </c>
      <c r="D41" s="158">
        <f>Dashboard!B31</f>
        <v>200</v>
      </c>
      <c r="E41" s="158">
        <f>Dashboard!C31</f>
        <v>400</v>
      </c>
      <c r="F41" s="159">
        <f>Dashboard!E31</f>
        <v>80</v>
      </c>
      <c r="G41" s="144" t="s">
        <v>97</v>
      </c>
      <c r="H41" s="159"/>
      <c r="I41" s="159"/>
    </row>
    <row r="42" spans="1:9" ht="18" customHeight="1" x14ac:dyDescent="0.25">
      <c r="A42" s="155" t="s">
        <v>320</v>
      </c>
      <c r="B42" s="156" t="s">
        <v>321</v>
      </c>
      <c r="C42" s="157" t="s">
        <v>104</v>
      </c>
      <c r="D42" s="158">
        <f>Dashboard!B31</f>
        <v>200</v>
      </c>
      <c r="E42" s="158">
        <f>Dashboard!C31</f>
        <v>400</v>
      </c>
      <c r="F42" s="159">
        <f>Dashboard!E31</f>
        <v>80</v>
      </c>
      <c r="G42" s="144" t="s">
        <v>97</v>
      </c>
      <c r="H42" s="159"/>
      <c r="I42" s="159"/>
    </row>
    <row r="43" spans="1:9" ht="18" customHeight="1" x14ac:dyDescent="0.25">
      <c r="A43" s="155" t="s">
        <v>322</v>
      </c>
      <c r="B43" s="156" t="s">
        <v>323</v>
      </c>
      <c r="C43" s="157" t="s">
        <v>104</v>
      </c>
      <c r="D43" s="158">
        <f>Dashboard!B31</f>
        <v>200</v>
      </c>
      <c r="E43" s="158">
        <f>Dashboard!C31</f>
        <v>400</v>
      </c>
      <c r="F43" s="159">
        <f>Dashboard!E31</f>
        <v>80</v>
      </c>
      <c r="G43" s="144" t="s">
        <v>97</v>
      </c>
      <c r="H43" s="159"/>
      <c r="I43" s="159"/>
    </row>
    <row r="44" spans="1:9" ht="18" customHeight="1" x14ac:dyDescent="0.25">
      <c r="A44" s="155" t="s">
        <v>324</v>
      </c>
      <c r="B44" s="156" t="s">
        <v>325</v>
      </c>
      <c r="C44" s="157" t="s">
        <v>104</v>
      </c>
      <c r="D44" s="158">
        <f>Dashboard!B31</f>
        <v>200</v>
      </c>
      <c r="E44" s="158">
        <f>Dashboard!C31</f>
        <v>400</v>
      </c>
      <c r="F44" s="159">
        <f>Dashboard!E31</f>
        <v>80</v>
      </c>
      <c r="G44" s="144" t="s">
        <v>97</v>
      </c>
      <c r="H44" s="159"/>
      <c r="I44" s="159"/>
    </row>
    <row r="45" spans="1:9" ht="18" customHeight="1" x14ac:dyDescent="0.25">
      <c r="A45" s="155" t="s">
        <v>326</v>
      </c>
      <c r="B45" s="156" t="s">
        <v>327</v>
      </c>
      <c r="C45" s="157" t="s">
        <v>104</v>
      </c>
      <c r="D45" s="158">
        <f>Dashboard!B31</f>
        <v>200</v>
      </c>
      <c r="E45" s="158">
        <f>Dashboard!C31</f>
        <v>400</v>
      </c>
      <c r="F45" s="159">
        <f>Dashboard!E31</f>
        <v>80</v>
      </c>
      <c r="G45" s="144" t="s">
        <v>97</v>
      </c>
      <c r="H45" s="159"/>
      <c r="I45" s="159"/>
    </row>
    <row r="46" spans="1:9" ht="18" customHeight="1" x14ac:dyDescent="0.25">
      <c r="A46" s="155" t="s">
        <v>328</v>
      </c>
      <c r="B46" s="156" t="s">
        <v>329</v>
      </c>
      <c r="C46" s="157" t="s">
        <v>104</v>
      </c>
      <c r="D46" s="158">
        <f>Dashboard!B31</f>
        <v>200</v>
      </c>
      <c r="E46" s="158">
        <f>Dashboard!C31</f>
        <v>400</v>
      </c>
      <c r="F46" s="159">
        <f>Dashboard!E31</f>
        <v>80</v>
      </c>
      <c r="G46" s="145" t="s">
        <v>101</v>
      </c>
      <c r="H46" s="159"/>
      <c r="I46" s="159"/>
    </row>
    <row r="47" spans="1:9" ht="18" customHeight="1" x14ac:dyDescent="0.25">
      <c r="A47" s="155" t="s">
        <v>330</v>
      </c>
      <c r="B47" s="156" t="s">
        <v>331</v>
      </c>
      <c r="C47" s="157" t="s">
        <v>104</v>
      </c>
      <c r="D47" s="158">
        <f>Dashboard!B31</f>
        <v>200</v>
      </c>
      <c r="E47" s="158">
        <f>Dashboard!C31</f>
        <v>400</v>
      </c>
      <c r="F47" s="159">
        <f>Dashboard!E31</f>
        <v>80</v>
      </c>
      <c r="G47" s="145" t="s">
        <v>101</v>
      </c>
      <c r="H47" s="159"/>
      <c r="I47" s="159"/>
    </row>
    <row r="48" spans="1:9" ht="18" customHeight="1" x14ac:dyDescent="0.25">
      <c r="A48" s="155" t="s">
        <v>332</v>
      </c>
      <c r="B48" s="156" t="s">
        <v>333</v>
      </c>
      <c r="C48" s="157" t="s">
        <v>104</v>
      </c>
      <c r="D48" s="158">
        <f>Dashboard!B31</f>
        <v>200</v>
      </c>
      <c r="E48" s="158">
        <f>Dashboard!C31</f>
        <v>400</v>
      </c>
      <c r="F48" s="159">
        <f>Dashboard!E31</f>
        <v>80</v>
      </c>
      <c r="G48" s="145" t="s">
        <v>101</v>
      </c>
      <c r="H48" s="159"/>
      <c r="I48" s="159"/>
    </row>
    <row r="49" spans="1:9" ht="18" customHeight="1" x14ac:dyDescent="0.25">
      <c r="A49" s="155" t="s">
        <v>334</v>
      </c>
      <c r="B49" s="156" t="s">
        <v>335</v>
      </c>
      <c r="C49" s="157" t="s">
        <v>104</v>
      </c>
      <c r="D49" s="158">
        <f>Dashboard!B31</f>
        <v>200</v>
      </c>
      <c r="E49" s="158">
        <f>Dashboard!C31</f>
        <v>400</v>
      </c>
      <c r="F49" s="159">
        <f>Dashboard!E31</f>
        <v>80</v>
      </c>
      <c r="G49" s="145" t="s">
        <v>101</v>
      </c>
      <c r="H49" s="159"/>
      <c r="I49" s="159"/>
    </row>
    <row r="50" spans="1:9" ht="18" customHeight="1" x14ac:dyDescent="0.25">
      <c r="A50" s="155" t="s">
        <v>336</v>
      </c>
      <c r="B50" s="156" t="s">
        <v>337</v>
      </c>
      <c r="C50" s="157" t="s">
        <v>104</v>
      </c>
      <c r="D50" s="158">
        <f>Dashboard!B31</f>
        <v>200</v>
      </c>
      <c r="E50" s="158">
        <f>Dashboard!C31</f>
        <v>400</v>
      </c>
      <c r="F50" s="159">
        <f>Dashboard!E31</f>
        <v>80</v>
      </c>
      <c r="G50" s="145" t="s">
        <v>101</v>
      </c>
      <c r="H50" s="159"/>
      <c r="I50" s="159"/>
    </row>
    <row r="51" spans="1:9" ht="18" customHeight="1" x14ac:dyDescent="0.25">
      <c r="A51" s="155" t="s">
        <v>338</v>
      </c>
      <c r="B51" s="156" t="s">
        <v>339</v>
      </c>
      <c r="C51" s="157" t="s">
        <v>104</v>
      </c>
      <c r="D51" s="158">
        <f>Dashboard!B31</f>
        <v>200</v>
      </c>
      <c r="E51" s="158">
        <f>Dashboard!C31</f>
        <v>400</v>
      </c>
      <c r="F51" s="159">
        <f>Dashboard!E31</f>
        <v>80</v>
      </c>
      <c r="G51" s="146" t="s">
        <v>105</v>
      </c>
      <c r="H51" s="159"/>
      <c r="I51" s="159"/>
    </row>
    <row r="52" spans="1:9" ht="18" customHeight="1" x14ac:dyDescent="0.25">
      <c r="A52" s="155" t="s">
        <v>340</v>
      </c>
      <c r="B52" s="156" t="s">
        <v>341</v>
      </c>
      <c r="C52" s="157" t="s">
        <v>104</v>
      </c>
      <c r="D52" s="158">
        <f>Dashboard!B31</f>
        <v>200</v>
      </c>
      <c r="E52" s="158">
        <f>Dashboard!C31</f>
        <v>400</v>
      </c>
      <c r="F52" s="159">
        <f>Dashboard!E31</f>
        <v>80</v>
      </c>
      <c r="G52" s="146" t="s">
        <v>105</v>
      </c>
      <c r="H52" s="159"/>
      <c r="I52" s="159"/>
    </row>
    <row r="53" spans="1:9" ht="18" customHeight="1" x14ac:dyDescent="0.25">
      <c r="A53" s="155" t="s">
        <v>342</v>
      </c>
      <c r="B53" s="156" t="s">
        <v>343</v>
      </c>
      <c r="C53" s="157" t="s">
        <v>104</v>
      </c>
      <c r="D53" s="158">
        <f>Dashboard!B31</f>
        <v>200</v>
      </c>
      <c r="E53" s="158">
        <f>Dashboard!C31</f>
        <v>400</v>
      </c>
      <c r="F53" s="159">
        <f>Dashboard!E31</f>
        <v>80</v>
      </c>
      <c r="G53" s="146" t="s">
        <v>105</v>
      </c>
      <c r="H53" s="159"/>
      <c r="I53" s="159"/>
    </row>
    <row r="54" spans="1:9" ht="18" customHeight="1" x14ac:dyDescent="0.25">
      <c r="A54" s="155" t="s">
        <v>344</v>
      </c>
      <c r="B54" s="156" t="s">
        <v>345</v>
      </c>
      <c r="C54" s="157" t="s">
        <v>104</v>
      </c>
      <c r="D54" s="158">
        <f>Dashboard!B31</f>
        <v>200</v>
      </c>
      <c r="E54" s="158">
        <f>Dashboard!C31</f>
        <v>400</v>
      </c>
      <c r="F54" s="159">
        <f>Dashboard!E31</f>
        <v>80</v>
      </c>
      <c r="G54" s="146" t="s">
        <v>105</v>
      </c>
      <c r="H54" s="159"/>
      <c r="I54" s="159"/>
    </row>
    <row r="55" spans="1:9" ht="18" customHeight="1" x14ac:dyDescent="0.25">
      <c r="A55" s="155" t="s">
        <v>346</v>
      </c>
      <c r="B55" s="156" t="s">
        <v>347</v>
      </c>
      <c r="C55" s="157" t="s">
        <v>104</v>
      </c>
      <c r="D55" s="158">
        <f>Dashboard!B31</f>
        <v>200</v>
      </c>
      <c r="E55" s="158">
        <f>Dashboard!C31</f>
        <v>400</v>
      </c>
      <c r="F55" s="159">
        <f>Dashboard!E31</f>
        <v>80</v>
      </c>
      <c r="G55" s="147" t="s">
        <v>108</v>
      </c>
      <c r="H55" s="159"/>
      <c r="I55" s="159"/>
    </row>
    <row r="56" spans="1:9" ht="18" customHeight="1" x14ac:dyDescent="0.25">
      <c r="A56" s="155" t="s">
        <v>348</v>
      </c>
      <c r="B56" s="156" t="s">
        <v>349</v>
      </c>
      <c r="C56" s="157" t="s">
        <v>104</v>
      </c>
      <c r="D56" s="158">
        <f>Dashboard!B31</f>
        <v>200</v>
      </c>
      <c r="E56" s="158">
        <f>Dashboard!C31</f>
        <v>400</v>
      </c>
      <c r="F56" s="159">
        <f>Dashboard!E31</f>
        <v>80</v>
      </c>
      <c r="G56" s="147" t="s">
        <v>108</v>
      </c>
      <c r="H56" s="159"/>
      <c r="I56" s="159"/>
    </row>
    <row r="57" spans="1:9" ht="18" customHeight="1" x14ac:dyDescent="0.25">
      <c r="A57" s="155" t="s">
        <v>350</v>
      </c>
      <c r="B57" s="156" t="s">
        <v>351</v>
      </c>
      <c r="C57" s="157" t="s">
        <v>104</v>
      </c>
      <c r="D57" s="158">
        <f>Dashboard!B31</f>
        <v>200</v>
      </c>
      <c r="E57" s="158">
        <f>Dashboard!C31</f>
        <v>400</v>
      </c>
      <c r="F57" s="159">
        <f>Dashboard!E31</f>
        <v>80</v>
      </c>
      <c r="G57" s="147" t="s">
        <v>108</v>
      </c>
      <c r="H57" s="159"/>
      <c r="I57" s="159"/>
    </row>
    <row r="58" spans="1:9" ht="18" customHeight="1" x14ac:dyDescent="0.25">
      <c r="A58" s="155" t="s">
        <v>352</v>
      </c>
      <c r="B58" s="156" t="s">
        <v>353</v>
      </c>
      <c r="C58" s="157" t="s">
        <v>104</v>
      </c>
      <c r="D58" s="158">
        <f>Dashboard!B31</f>
        <v>200</v>
      </c>
      <c r="E58" s="158">
        <f>Dashboard!C31</f>
        <v>400</v>
      </c>
      <c r="F58" s="159">
        <f>Dashboard!E31</f>
        <v>80</v>
      </c>
      <c r="G58" s="148" t="s">
        <v>111</v>
      </c>
      <c r="H58" s="159"/>
      <c r="I58" s="159"/>
    </row>
    <row r="59" spans="1:9" ht="18" customHeight="1" x14ac:dyDescent="0.25">
      <c r="A59" s="155" t="s">
        <v>354</v>
      </c>
      <c r="B59" s="156" t="s">
        <v>355</v>
      </c>
      <c r="C59" s="157" t="s">
        <v>104</v>
      </c>
      <c r="D59" s="158">
        <f>Dashboard!B31</f>
        <v>200</v>
      </c>
      <c r="E59" s="158">
        <f>Dashboard!C31</f>
        <v>400</v>
      </c>
      <c r="F59" s="159">
        <f>Dashboard!E31</f>
        <v>80</v>
      </c>
      <c r="G59" s="148" t="s">
        <v>111</v>
      </c>
      <c r="H59" s="159"/>
      <c r="I59" s="159"/>
    </row>
    <row r="60" spans="1:9" ht="18" customHeight="1" x14ac:dyDescent="0.25">
      <c r="A60" s="160" t="s">
        <v>356</v>
      </c>
      <c r="B60" s="161" t="s">
        <v>357</v>
      </c>
      <c r="C60" s="162" t="s">
        <v>107</v>
      </c>
      <c r="D60" s="163">
        <f>Dashboard!B32</f>
        <v>5000</v>
      </c>
      <c r="E60" s="163">
        <f>Dashboard!C32</f>
        <v>5000</v>
      </c>
      <c r="F60" s="164">
        <f>Dashboard!E32</f>
        <v>999</v>
      </c>
      <c r="G60" s="154" t="s">
        <v>289</v>
      </c>
      <c r="H60" s="164"/>
      <c r="I60" s="164"/>
    </row>
    <row r="61" spans="1:9" ht="18" customHeight="1" x14ac:dyDescent="0.25">
      <c r="A61" s="160" t="s">
        <v>358</v>
      </c>
      <c r="B61" s="161" t="s">
        <v>359</v>
      </c>
      <c r="C61" s="162" t="s">
        <v>107</v>
      </c>
      <c r="D61" s="163">
        <f>Dashboard!B32</f>
        <v>5000</v>
      </c>
      <c r="E61" s="163">
        <f>Dashboard!C32</f>
        <v>5000</v>
      </c>
      <c r="F61" s="164">
        <f>Dashboard!E32</f>
        <v>999</v>
      </c>
      <c r="G61" s="154" t="s">
        <v>289</v>
      </c>
      <c r="H61" s="164"/>
      <c r="I61" s="164"/>
    </row>
    <row r="62" spans="1:9" ht="18" customHeight="1" x14ac:dyDescent="0.25">
      <c r="A62" s="165" t="s">
        <v>360</v>
      </c>
      <c r="B62" s="166" t="s">
        <v>361</v>
      </c>
      <c r="C62" s="167" t="s">
        <v>110</v>
      </c>
      <c r="D62" s="168">
        <f>Dashboard!B33</f>
        <v>800</v>
      </c>
      <c r="E62" s="168">
        <f>Dashboard!C33</f>
        <v>800</v>
      </c>
      <c r="F62" s="169">
        <f>Dashboard!E33</f>
        <v>999</v>
      </c>
      <c r="G62" s="154" t="s">
        <v>289</v>
      </c>
      <c r="H62" s="169"/>
      <c r="I62" s="169"/>
    </row>
    <row r="63" spans="1:9" ht="18" customHeight="1" x14ac:dyDescent="0.25">
      <c r="A63" s="165" t="s">
        <v>362</v>
      </c>
      <c r="B63" s="166" t="s">
        <v>363</v>
      </c>
      <c r="C63" s="167" t="s">
        <v>110</v>
      </c>
      <c r="D63" s="168">
        <f>Dashboard!B33</f>
        <v>800</v>
      </c>
      <c r="E63" s="168">
        <f>Dashboard!C33</f>
        <v>800</v>
      </c>
      <c r="F63" s="169">
        <f>Dashboard!E33</f>
        <v>999</v>
      </c>
      <c r="G63" s="154" t="s">
        <v>289</v>
      </c>
      <c r="H63" s="169"/>
      <c r="I63" s="169"/>
    </row>
    <row r="64" spans="1:9" x14ac:dyDescent="0.25">
      <c r="A64" s="251" t="s">
        <v>364</v>
      </c>
      <c r="B64" s="207"/>
      <c r="C64" s="207"/>
      <c r="D64" s="207"/>
      <c r="E64" s="207"/>
      <c r="F64" s="207"/>
      <c r="G64" s="207"/>
      <c r="H64" s="207"/>
      <c r="I64" s="207"/>
    </row>
  </sheetData>
  <mergeCells count="2">
    <mergeCell ref="A1:I1"/>
    <mergeCell ref="A64:I6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D35400"/>
  </sheetPr>
  <dimension ref="A1:H21"/>
  <sheetViews>
    <sheetView showGridLines="0" workbookViewId="0">
      <pane ySplit="3" topLeftCell="A4" activePane="bottomLeft" state="frozen"/>
      <selection pane="bottomLeft" sqref="A1:H1"/>
    </sheetView>
  </sheetViews>
  <sheetFormatPr defaultRowHeight="15" x14ac:dyDescent="0.25"/>
  <cols>
    <col min="1" max="1" width="14" customWidth="1"/>
    <col min="2" max="8" width="18" customWidth="1"/>
  </cols>
  <sheetData>
    <row r="1" spans="1:8" ht="30" customHeight="1" x14ac:dyDescent="0.25">
      <c r="A1" s="255" t="s">
        <v>365</v>
      </c>
      <c r="B1" s="207"/>
      <c r="C1" s="207"/>
      <c r="D1" s="207"/>
      <c r="E1" s="207"/>
      <c r="F1" s="207"/>
      <c r="G1" s="207"/>
      <c r="H1" s="207"/>
    </row>
    <row r="2" spans="1:8" ht="18" customHeight="1" x14ac:dyDescent="0.25">
      <c r="A2" s="254" t="s">
        <v>366</v>
      </c>
      <c r="B2" s="207"/>
      <c r="C2" s="207"/>
      <c r="D2" s="207"/>
      <c r="E2" s="207"/>
      <c r="F2" s="207"/>
      <c r="G2" s="207"/>
      <c r="H2" s="207"/>
    </row>
    <row r="3" spans="1:8" ht="24" customHeight="1" x14ac:dyDescent="0.25">
      <c r="A3" s="170" t="s">
        <v>367</v>
      </c>
      <c r="B3" s="170" t="s">
        <v>368</v>
      </c>
      <c r="C3" s="170" t="s">
        <v>369</v>
      </c>
      <c r="D3" s="170" t="s">
        <v>370</v>
      </c>
      <c r="E3" s="170" t="s">
        <v>371</v>
      </c>
      <c r="F3" s="170" t="s">
        <v>372</v>
      </c>
      <c r="G3" s="170" t="s">
        <v>373</v>
      </c>
      <c r="H3" s="170" t="s">
        <v>374</v>
      </c>
    </row>
    <row r="4" spans="1:8" ht="21.95" customHeight="1" x14ac:dyDescent="0.25">
      <c r="A4" s="71" t="s">
        <v>115</v>
      </c>
      <c r="B4" s="26">
        <v>5</v>
      </c>
      <c r="C4" s="26">
        <v>8</v>
      </c>
      <c r="D4" s="171">
        <v>13</v>
      </c>
      <c r="E4" s="17" t="s">
        <v>375</v>
      </c>
      <c r="F4" s="12" t="s">
        <v>376</v>
      </c>
      <c r="G4" s="26">
        <v>26</v>
      </c>
      <c r="H4" s="26">
        <v>8</v>
      </c>
    </row>
    <row r="5" spans="1:8" ht="21.95" customHeight="1" x14ac:dyDescent="0.25">
      <c r="A5" s="172" t="s">
        <v>116</v>
      </c>
      <c r="B5" s="173">
        <v>6</v>
      </c>
      <c r="C5" s="174">
        <v>10</v>
      </c>
      <c r="D5" s="173">
        <v>14</v>
      </c>
      <c r="E5" s="12" t="s">
        <v>376</v>
      </c>
      <c r="F5" s="12" t="s">
        <v>376</v>
      </c>
      <c r="G5" s="174">
        <v>30</v>
      </c>
      <c r="H5" s="174">
        <v>8</v>
      </c>
    </row>
    <row r="6" spans="1:8" ht="21.95" customHeight="1" x14ac:dyDescent="0.25">
      <c r="A6" s="175" t="s">
        <v>117</v>
      </c>
      <c r="B6" s="176">
        <v>5</v>
      </c>
      <c r="C6" s="176">
        <v>8</v>
      </c>
      <c r="D6" s="177">
        <v>13</v>
      </c>
      <c r="E6" s="17" t="s">
        <v>375</v>
      </c>
      <c r="F6" s="12" t="s">
        <v>376</v>
      </c>
      <c r="G6" s="176">
        <v>26</v>
      </c>
      <c r="H6" s="176">
        <v>8</v>
      </c>
    </row>
    <row r="7" spans="1:8" ht="21.95" customHeight="1" x14ac:dyDescent="0.25">
      <c r="A7" s="178" t="s">
        <v>118</v>
      </c>
      <c r="B7" s="179">
        <v>6</v>
      </c>
      <c r="C7" s="180">
        <v>9</v>
      </c>
      <c r="D7" s="179">
        <v>13</v>
      </c>
      <c r="E7" s="12" t="s">
        <v>376</v>
      </c>
      <c r="F7" s="12" t="s">
        <v>376</v>
      </c>
      <c r="G7" s="180">
        <v>28</v>
      </c>
      <c r="H7" s="180">
        <v>8</v>
      </c>
    </row>
    <row r="8" spans="1:8" ht="21.95" customHeight="1" x14ac:dyDescent="0.25">
      <c r="A8" s="181" t="s">
        <v>119</v>
      </c>
      <c r="B8" s="23">
        <v>5</v>
      </c>
      <c r="C8" s="23">
        <v>6</v>
      </c>
      <c r="D8" s="23">
        <v>11</v>
      </c>
      <c r="E8" s="17" t="s">
        <v>375</v>
      </c>
      <c r="F8" s="17" t="s">
        <v>375</v>
      </c>
      <c r="G8" s="23">
        <v>22</v>
      </c>
      <c r="H8" s="23">
        <v>8</v>
      </c>
    </row>
    <row r="9" spans="1:8" ht="21.95" customHeight="1" x14ac:dyDescent="0.25">
      <c r="A9" s="56" t="s">
        <v>120</v>
      </c>
      <c r="B9" s="35">
        <v>2</v>
      </c>
      <c r="C9" s="35">
        <v>3</v>
      </c>
      <c r="D9" s="35">
        <v>5</v>
      </c>
      <c r="E9" s="17" t="s">
        <v>375</v>
      </c>
      <c r="F9" s="17" t="s">
        <v>375</v>
      </c>
      <c r="G9" s="35">
        <v>10</v>
      </c>
      <c r="H9" s="35">
        <v>8</v>
      </c>
    </row>
    <row r="10" spans="1:8" ht="21.95" customHeight="1" x14ac:dyDescent="0.25">
      <c r="A10" s="182" t="s">
        <v>121</v>
      </c>
      <c r="B10" s="7">
        <v>1</v>
      </c>
      <c r="C10" s="7">
        <v>2</v>
      </c>
      <c r="D10" s="7">
        <v>3</v>
      </c>
      <c r="E10" s="17" t="s">
        <v>375</v>
      </c>
      <c r="F10" s="17" t="s">
        <v>375</v>
      </c>
      <c r="G10" s="7">
        <v>6</v>
      </c>
      <c r="H10" s="7">
        <v>8</v>
      </c>
    </row>
    <row r="11" spans="1:8" ht="24" customHeight="1" x14ac:dyDescent="0.25">
      <c r="A11" s="223" t="s">
        <v>377</v>
      </c>
      <c r="B11" s="183">
        <f>SUM(B4:B10)</f>
        <v>30</v>
      </c>
      <c r="C11" s="183">
        <f>SUM(C4:C10)</f>
        <v>46</v>
      </c>
      <c r="D11" s="183">
        <f>SUM(D4:D10)</f>
        <v>72</v>
      </c>
      <c r="E11" s="184"/>
      <c r="F11" s="184"/>
      <c r="G11" s="184"/>
      <c r="H11" s="184"/>
    </row>
    <row r="13" spans="1:8" ht="26.1" customHeight="1" x14ac:dyDescent="0.25">
      <c r="A13" s="221" t="s">
        <v>378</v>
      </c>
      <c r="B13" s="207"/>
      <c r="C13" s="207"/>
      <c r="D13" s="207"/>
      <c r="E13" s="207"/>
      <c r="F13" s="207"/>
      <c r="G13" s="207"/>
      <c r="H13" s="207"/>
    </row>
    <row r="14" spans="1:8" ht="18" customHeight="1" x14ac:dyDescent="0.25">
      <c r="A14" s="252" t="s">
        <v>379</v>
      </c>
      <c r="B14" s="207"/>
      <c r="C14" s="207"/>
      <c r="D14" s="207"/>
      <c r="E14" s="207"/>
      <c r="F14" s="207"/>
      <c r="G14" s="207"/>
      <c r="H14" s="207"/>
    </row>
    <row r="15" spans="1:8" ht="18" customHeight="1" x14ac:dyDescent="0.25">
      <c r="A15" s="253" t="s">
        <v>380</v>
      </c>
      <c r="B15" s="207"/>
      <c r="C15" s="207"/>
      <c r="D15" s="207"/>
      <c r="E15" s="207"/>
      <c r="F15" s="207"/>
      <c r="G15" s="207"/>
      <c r="H15" s="207"/>
    </row>
    <row r="16" spans="1:8" ht="18" customHeight="1" x14ac:dyDescent="0.25">
      <c r="A16" s="252" t="s">
        <v>381</v>
      </c>
      <c r="B16" s="207"/>
      <c r="C16" s="207"/>
      <c r="D16" s="207"/>
      <c r="E16" s="207"/>
      <c r="F16" s="207"/>
      <c r="G16" s="207"/>
      <c r="H16" s="207"/>
    </row>
    <row r="17" spans="1:8" ht="18" customHeight="1" x14ac:dyDescent="0.25">
      <c r="A17" s="253" t="s">
        <v>382</v>
      </c>
      <c r="B17" s="207"/>
      <c r="C17" s="207"/>
      <c r="D17" s="207"/>
      <c r="E17" s="207"/>
      <c r="F17" s="207"/>
      <c r="G17" s="207"/>
      <c r="H17" s="207"/>
    </row>
    <row r="18" spans="1:8" ht="18" customHeight="1" x14ac:dyDescent="0.25">
      <c r="A18" s="252" t="s">
        <v>383</v>
      </c>
      <c r="B18" s="207"/>
      <c r="C18" s="207"/>
      <c r="D18" s="207"/>
      <c r="E18" s="207"/>
      <c r="F18" s="207"/>
      <c r="G18" s="207"/>
      <c r="H18" s="207"/>
    </row>
    <row r="19" spans="1:8" ht="18" customHeight="1" x14ac:dyDescent="0.25">
      <c r="A19" s="253" t="s">
        <v>384</v>
      </c>
      <c r="B19" s="207"/>
      <c r="C19" s="207"/>
      <c r="D19" s="207"/>
      <c r="E19" s="207"/>
      <c r="F19" s="207"/>
      <c r="G19" s="207"/>
      <c r="H19" s="207"/>
    </row>
    <row r="20" spans="1:8" ht="18" customHeight="1" x14ac:dyDescent="0.25">
      <c r="A20" s="252" t="s">
        <v>385</v>
      </c>
      <c r="B20" s="207"/>
      <c r="C20" s="207"/>
      <c r="D20" s="207"/>
      <c r="E20" s="207"/>
      <c r="F20" s="207"/>
      <c r="G20" s="207"/>
      <c r="H20" s="207"/>
    </row>
    <row r="21" spans="1:8" ht="18" customHeight="1" x14ac:dyDescent="0.25">
      <c r="A21" s="253" t="s">
        <v>386</v>
      </c>
      <c r="B21" s="207"/>
      <c r="C21" s="207"/>
      <c r="D21" s="207"/>
      <c r="E21" s="207"/>
      <c r="F21" s="207"/>
      <c r="G21" s="207"/>
      <c r="H21" s="207"/>
    </row>
  </sheetData>
  <mergeCells count="12">
    <mergeCell ref="A1:H1"/>
    <mergeCell ref="A11"/>
    <mergeCell ref="A17:H17"/>
    <mergeCell ref="A18:H18"/>
    <mergeCell ref="A21:H21"/>
    <mergeCell ref="A15:H15"/>
    <mergeCell ref="A20:H20"/>
    <mergeCell ref="A2:H2"/>
    <mergeCell ref="A16:H16"/>
    <mergeCell ref="A13:H13"/>
    <mergeCell ref="A14:H14"/>
    <mergeCell ref="A19:H19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B59B6"/>
  </sheetPr>
  <dimension ref="A1:J32"/>
  <sheetViews>
    <sheetView showGridLines="0" workbookViewId="0">
      <pane ySplit="6" topLeftCell="A7" activePane="bottomLeft" state="frozen"/>
      <selection pane="bottomLeft"/>
    </sheetView>
  </sheetViews>
  <sheetFormatPr defaultRowHeight="15" x14ac:dyDescent="0.25"/>
  <cols>
    <col min="1" max="1" width="28" customWidth="1"/>
    <col min="2" max="10" width="20" customWidth="1"/>
  </cols>
  <sheetData>
    <row r="1" spans="1:10" ht="32.1" customHeight="1" x14ac:dyDescent="0.25">
      <c r="A1" s="271" t="s">
        <v>387</v>
      </c>
      <c r="B1" s="207"/>
      <c r="C1" s="207"/>
      <c r="D1" s="207"/>
      <c r="E1" s="207"/>
      <c r="F1" s="207"/>
      <c r="G1" s="207"/>
      <c r="H1" s="207"/>
      <c r="I1" s="207"/>
      <c r="J1" s="207"/>
    </row>
    <row r="2" spans="1:10" ht="9.9499999999999993" customHeight="1" x14ac:dyDescent="0.25"/>
    <row r="3" spans="1:10" ht="14.1" customHeight="1" x14ac:dyDescent="0.25">
      <c r="A3" s="268" t="s">
        <v>388</v>
      </c>
      <c r="B3" s="207"/>
      <c r="C3" s="262" t="s">
        <v>389</v>
      </c>
      <c r="D3" s="207"/>
      <c r="E3" s="282" t="s">
        <v>390</v>
      </c>
      <c r="F3" s="207"/>
      <c r="G3" s="269" t="s">
        <v>391</v>
      </c>
      <c r="H3" s="207"/>
      <c r="I3" s="270" t="s">
        <v>392</v>
      </c>
      <c r="J3" s="207"/>
    </row>
    <row r="4" spans="1:10" ht="30" customHeight="1" x14ac:dyDescent="0.25">
      <c r="A4" s="278">
        <f>Day_0_Plan!B31</f>
        <v>0</v>
      </c>
      <c r="B4" s="207"/>
      <c r="C4" s="260">
        <f>Day_0_Plan!B27</f>
        <v>0</v>
      </c>
      <c r="D4" s="207"/>
      <c r="E4" s="261">
        <f>Day_0_Plan!B29</f>
        <v>0</v>
      </c>
      <c r="F4" s="207"/>
      <c r="G4" s="279">
        <f>(Day_0_Plan!B28+Day_0_Plan!B30)</f>
        <v>0</v>
      </c>
      <c r="H4" s="207"/>
      <c r="I4" s="280" t="str">
        <f>TEXT(SUMPRODUCT(Day_0_Plan!C10:I10)/(68*7),"0.0%")</f>
        <v>30.8%</v>
      </c>
      <c r="J4" s="207"/>
    </row>
    <row r="5" spans="1:10" ht="24" customHeight="1" x14ac:dyDescent="0.25">
      <c r="A5" s="229"/>
      <c r="B5" s="207"/>
      <c r="C5" s="257"/>
      <c r="D5" s="207"/>
      <c r="E5" s="258"/>
      <c r="F5" s="207"/>
      <c r="G5" s="272"/>
      <c r="H5" s="207"/>
      <c r="I5" s="276"/>
      <c r="J5" s="207"/>
    </row>
    <row r="6" spans="1:10" ht="6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</row>
    <row r="7" spans="1:10" ht="26.1" customHeight="1" x14ac:dyDescent="0.25">
      <c r="A7" s="221" t="s">
        <v>393</v>
      </c>
      <c r="B7" s="207"/>
      <c r="C7" s="207"/>
      <c r="D7" s="207"/>
      <c r="E7" s="207"/>
      <c r="F7" s="222" t="s">
        <v>394</v>
      </c>
      <c r="G7" s="207"/>
      <c r="H7" s="207"/>
      <c r="I7" s="207"/>
      <c r="J7" s="207"/>
    </row>
    <row r="8" spans="1:10" ht="21.95" customHeight="1" x14ac:dyDescent="0.25">
      <c r="A8" s="185" t="s">
        <v>36</v>
      </c>
      <c r="B8" s="185" t="s">
        <v>395</v>
      </c>
      <c r="C8" s="185" t="s">
        <v>396</v>
      </c>
      <c r="D8" s="185" t="s">
        <v>397</v>
      </c>
      <c r="E8" s="185" t="s">
        <v>398</v>
      </c>
      <c r="F8" s="111" t="s">
        <v>399</v>
      </c>
      <c r="G8" s="111" t="s">
        <v>400</v>
      </c>
      <c r="H8" s="111" t="s">
        <v>401</v>
      </c>
    </row>
    <row r="9" spans="1:10" ht="20.100000000000001" customHeight="1" x14ac:dyDescent="0.25">
      <c r="A9" s="56" t="s">
        <v>54</v>
      </c>
      <c r="B9" s="35">
        <f>Day_0_Plan!J2</f>
        <v>11</v>
      </c>
      <c r="C9" s="36">
        <v>550000</v>
      </c>
      <c r="D9" s="36">
        <f>B9*C9</f>
        <v>6050000</v>
      </c>
      <c r="E9" s="96">
        <f>IF(Day_0_Plan!B27&gt;0,D9/Day_0_Plan!B27,0)</f>
        <v>0</v>
      </c>
      <c r="F9" s="186" t="s">
        <v>402</v>
      </c>
      <c r="G9" s="82">
        <f>Day_0_Plan!B28</f>
        <v>0</v>
      </c>
      <c r="H9" s="187">
        <f>IF(Day_0_Plan!B27&gt;0,G9/Day_0_Plan!B27,0)</f>
        <v>0</v>
      </c>
    </row>
    <row r="10" spans="1:10" ht="20.100000000000001" customHeight="1" x14ac:dyDescent="0.25">
      <c r="A10" s="62" t="s">
        <v>58</v>
      </c>
      <c r="B10" s="38">
        <f>Day_0_Plan!J3</f>
        <v>6</v>
      </c>
      <c r="C10" s="39">
        <v>400000</v>
      </c>
      <c r="D10" s="39">
        <f>B10*C10</f>
        <v>2400000</v>
      </c>
      <c r="E10" s="98">
        <f>IF(Day_0_Plan!B27&gt;0,D10/Day_0_Plan!B27,0)</f>
        <v>0</v>
      </c>
      <c r="F10" s="188" t="s">
        <v>403</v>
      </c>
      <c r="G10" s="189">
        <f>Day_0_Plan!B30</f>
        <v>0</v>
      </c>
      <c r="H10" s="190">
        <f>IF(Day_0_Plan!B27&gt;0,G10/Day_0_Plan!B27,0)</f>
        <v>0</v>
      </c>
    </row>
    <row r="11" spans="1:10" ht="20.100000000000001" customHeight="1" x14ac:dyDescent="0.25">
      <c r="A11" s="64" t="s">
        <v>59</v>
      </c>
      <c r="B11" s="41">
        <f>Day_0_Plan!J4</f>
        <v>14</v>
      </c>
      <c r="C11" s="42">
        <v>120000</v>
      </c>
      <c r="D11" s="42">
        <f>B11*C11</f>
        <v>1680000</v>
      </c>
      <c r="E11" s="100">
        <f>IF(Day_0_Plan!B27&gt;0,D11/Day_0_Plan!B27,0)</f>
        <v>0</v>
      </c>
      <c r="F11" s="191" t="s">
        <v>404</v>
      </c>
      <c r="G11" s="192">
        <f>Day_0_Plan!B35*6.29*3200+Day_0_Plan!B36*4.51*3200+Day_0_Plan!B37*1.73*2700+Day_0_Plan!B38*1.58*2700+Day_0_Plan!B39*0.63*2200</f>
        <v>441326</v>
      </c>
      <c r="H11" s="193">
        <f>IF(Day_0_Plan!B27&gt;0,G11/Day_0_Plan!B27,0)</f>
        <v>0</v>
      </c>
    </row>
    <row r="12" spans="1:10" ht="20.100000000000001" customHeight="1" x14ac:dyDescent="0.25">
      <c r="A12" s="66" t="s">
        <v>60</v>
      </c>
      <c r="B12" s="47">
        <f>Day_0_Plan!J5</f>
        <v>13</v>
      </c>
      <c r="C12" s="48">
        <v>255000</v>
      </c>
      <c r="D12" s="48">
        <f>B12*C12</f>
        <v>3315000</v>
      </c>
      <c r="E12" s="102">
        <f>IF(Day_0_Plan!B27&gt;0,D12/Day_0_Plan!B27,0)</f>
        <v>0</v>
      </c>
      <c r="F12" s="31" t="s">
        <v>405</v>
      </c>
      <c r="G12" s="194">
        <f>Day_0_Plan!B28+Day_0_Plan!B30</f>
        <v>0</v>
      </c>
      <c r="H12" s="195">
        <f>IF(Day_0_Plan!B27&gt;0,G12/Day_0_Plan!B27,0)</f>
        <v>0</v>
      </c>
    </row>
    <row r="13" spans="1:10" ht="20.100000000000001" customHeight="1" x14ac:dyDescent="0.25">
      <c r="A13" s="67" t="s">
        <v>61</v>
      </c>
      <c r="B13" s="53">
        <f>Day_0_Plan!J6</f>
        <v>9</v>
      </c>
      <c r="C13" s="54">
        <v>75000</v>
      </c>
      <c r="D13" s="54">
        <f>B13*C13</f>
        <v>675000</v>
      </c>
      <c r="E13" s="104">
        <f>IF(Day_0_Plan!B27&gt;0,D13/Day_0_Plan!B27,0)</f>
        <v>0</v>
      </c>
    </row>
    <row r="14" spans="1:10" ht="21.95" customHeight="1" x14ac:dyDescent="0.25">
      <c r="A14" s="237" t="s">
        <v>406</v>
      </c>
      <c r="D14" s="196">
        <f>Day_0_Plan!B27</f>
        <v>0</v>
      </c>
      <c r="E14" s="110" t="s">
        <v>407</v>
      </c>
    </row>
    <row r="15" spans="1:10" ht="9.9499999999999993" customHeight="1" x14ac:dyDescent="0.25">
      <c r="A15" s="136"/>
      <c r="B15" s="136"/>
      <c r="C15" s="136"/>
      <c r="D15" s="136"/>
      <c r="E15" s="136"/>
      <c r="F15" s="136"/>
      <c r="G15" s="136"/>
      <c r="H15" s="136"/>
      <c r="I15" s="136"/>
      <c r="J15" s="136"/>
    </row>
    <row r="16" spans="1:10" ht="26.1" customHeight="1" x14ac:dyDescent="0.25">
      <c r="A16" s="221" t="s">
        <v>408</v>
      </c>
      <c r="B16" s="207"/>
      <c r="C16" s="207"/>
      <c r="D16" s="207"/>
      <c r="E16" s="207"/>
      <c r="F16" s="207"/>
      <c r="G16" s="207"/>
      <c r="H16" s="207"/>
      <c r="I16" s="207"/>
      <c r="J16" s="207"/>
    </row>
    <row r="17" spans="1:10" ht="21.95" customHeight="1" x14ac:dyDescent="0.25">
      <c r="A17" s="111" t="s">
        <v>64</v>
      </c>
      <c r="B17" s="111" t="s">
        <v>409</v>
      </c>
      <c r="C17" s="111" t="s">
        <v>410</v>
      </c>
      <c r="D17" s="111" t="s">
        <v>411</v>
      </c>
      <c r="E17" s="111" t="s">
        <v>412</v>
      </c>
      <c r="F17" s="111" t="s">
        <v>397</v>
      </c>
      <c r="G17" s="111" t="s">
        <v>413</v>
      </c>
      <c r="H17" s="111" t="s">
        <v>68</v>
      </c>
      <c r="I17" s="111" t="s">
        <v>414</v>
      </c>
    </row>
    <row r="18" spans="1:10" ht="20.100000000000001" customHeight="1" x14ac:dyDescent="0.25">
      <c r="A18" s="22" t="s">
        <v>70</v>
      </c>
      <c r="B18" s="24">
        <v>18000</v>
      </c>
      <c r="C18" s="24">
        <v>10000</v>
      </c>
      <c r="D18" s="24">
        <v>8000</v>
      </c>
      <c r="E18" s="23">
        <f>SUM(Day_0_Plan!C20:I20)</f>
        <v>17</v>
      </c>
      <c r="F18" s="24">
        <f>B18*E18</f>
        <v>306000</v>
      </c>
      <c r="G18" s="24">
        <f>C18*E18</f>
        <v>170000</v>
      </c>
      <c r="H18" s="197">
        <f>F18-G18</f>
        <v>136000</v>
      </c>
      <c r="I18" s="198">
        <f>IF(105&gt;0,E18/(105),0)</f>
        <v>0.16190476190476191</v>
      </c>
    </row>
    <row r="19" spans="1:10" ht="20.100000000000001" customHeight="1" x14ac:dyDescent="0.25">
      <c r="A19" s="25" t="s">
        <v>415</v>
      </c>
      <c r="B19" s="27">
        <v>15000</v>
      </c>
      <c r="C19" s="27">
        <v>6000</v>
      </c>
      <c r="D19" s="27">
        <v>9000</v>
      </c>
      <c r="E19" s="26">
        <f>SUM(Day_0_Plan!C22:I22)</f>
        <v>38.800000000000004</v>
      </c>
      <c r="F19" s="27">
        <f>B19*E19</f>
        <v>582000.00000000012</v>
      </c>
      <c r="G19" s="27">
        <f>C19*E19</f>
        <v>232800.00000000003</v>
      </c>
      <c r="H19" s="199">
        <f>F19-G19</f>
        <v>349200.00000000012</v>
      </c>
      <c r="I19" s="200">
        <f>IF(140&gt;0,E19/(140),0)</f>
        <v>0.27714285714285719</v>
      </c>
    </row>
    <row r="20" spans="1:10" ht="20.100000000000001" customHeight="1" x14ac:dyDescent="0.25">
      <c r="A20" s="28" t="s">
        <v>416</v>
      </c>
      <c r="B20" s="30">
        <v>8000</v>
      </c>
      <c r="C20" s="30">
        <v>3500</v>
      </c>
      <c r="D20" s="30">
        <v>4500</v>
      </c>
      <c r="E20" s="29">
        <f>SUM(Day_0_Plan!C23:I23)</f>
        <v>97</v>
      </c>
      <c r="F20" s="30">
        <f>B20*E20</f>
        <v>776000</v>
      </c>
      <c r="G20" s="30">
        <f>C20*E20</f>
        <v>339500</v>
      </c>
      <c r="H20" s="201">
        <f>F20-G20</f>
        <v>436500</v>
      </c>
      <c r="I20" s="202">
        <f>IF(210&gt;0,E20/(210),0)</f>
        <v>0.46190476190476193</v>
      </c>
    </row>
    <row r="21" spans="1:10" ht="20.100000000000001" customHeight="1" x14ac:dyDescent="0.25">
      <c r="A21" s="31" t="s">
        <v>76</v>
      </c>
      <c r="B21" s="32">
        <v>3000</v>
      </c>
      <c r="C21" s="32">
        <v>1500</v>
      </c>
      <c r="D21" s="32">
        <v>1500</v>
      </c>
      <c r="E21" s="7">
        <f>SUM(Day_0_Plan!C24:I24)</f>
        <v>58.199999999999996</v>
      </c>
      <c r="F21" s="32">
        <f>B21*E21</f>
        <v>174600</v>
      </c>
      <c r="G21" s="32">
        <f>C21*E21</f>
        <v>87300</v>
      </c>
      <c r="H21" s="194">
        <f>F21-G21</f>
        <v>87300</v>
      </c>
      <c r="I21" s="195">
        <f>IF(350&gt;0,E21/(350),0)</f>
        <v>0.16628571428571429</v>
      </c>
    </row>
    <row r="22" spans="1:10" ht="21.95" customHeight="1" x14ac:dyDescent="0.25">
      <c r="A22" s="237" t="s">
        <v>417</v>
      </c>
      <c r="F22" s="203">
        <f>SUM(F18:F21)</f>
        <v>1838600</v>
      </c>
      <c r="G22" s="204">
        <f>SUM(G18:G21)</f>
        <v>829600</v>
      </c>
      <c r="H22" s="205">
        <f>SUM(H18:H21)</f>
        <v>1009000.0000000001</v>
      </c>
    </row>
    <row r="24" spans="1:10" ht="9.9499999999999993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ht="26.1" customHeight="1" x14ac:dyDescent="0.25">
      <c r="A25" s="277" t="s">
        <v>418</v>
      </c>
      <c r="B25" s="207"/>
      <c r="C25" s="207"/>
      <c r="D25" s="207"/>
      <c r="E25" s="207"/>
      <c r="F25" s="207"/>
      <c r="G25" s="207"/>
      <c r="H25" s="207"/>
      <c r="I25" s="207"/>
      <c r="J25" s="207"/>
    </row>
    <row r="26" spans="1:10" ht="20.100000000000001" customHeight="1" x14ac:dyDescent="0.25">
      <c r="A26" s="281" t="s">
        <v>419</v>
      </c>
      <c r="B26" s="207"/>
      <c r="C26" s="207"/>
      <c r="D26" s="207"/>
      <c r="E26" s="207"/>
      <c r="F26" s="207"/>
      <c r="G26" s="207"/>
      <c r="H26" s="266">
        <f>Day_0_Plan!B27</f>
        <v>0</v>
      </c>
      <c r="I26" s="264"/>
      <c r="J26" s="265"/>
    </row>
    <row r="27" spans="1:10" ht="20.100000000000001" customHeight="1" x14ac:dyDescent="0.25">
      <c r="A27" s="281" t="s">
        <v>420</v>
      </c>
      <c r="B27" s="207"/>
      <c r="C27" s="207"/>
      <c r="D27" s="207"/>
      <c r="E27" s="207"/>
      <c r="F27" s="207"/>
      <c r="G27" s="207"/>
      <c r="H27" s="266">
        <f>Day_0_Plan!B29</f>
        <v>0</v>
      </c>
      <c r="I27" s="264"/>
      <c r="J27" s="265"/>
    </row>
    <row r="28" spans="1:10" ht="20.100000000000001" customHeight="1" x14ac:dyDescent="0.25">
      <c r="A28" s="259" t="s">
        <v>421</v>
      </c>
      <c r="B28" s="207"/>
      <c r="C28" s="207"/>
      <c r="D28" s="207"/>
      <c r="E28" s="207"/>
      <c r="F28" s="207"/>
      <c r="G28" s="207"/>
      <c r="H28" s="263">
        <f>Day_0_Plan!B28</f>
        <v>0</v>
      </c>
      <c r="I28" s="264"/>
      <c r="J28" s="265"/>
    </row>
    <row r="29" spans="1:10" ht="20.100000000000001" customHeight="1" x14ac:dyDescent="0.25">
      <c r="A29" s="259" t="s">
        <v>422</v>
      </c>
      <c r="B29" s="207"/>
      <c r="C29" s="207"/>
      <c r="D29" s="207"/>
      <c r="E29" s="207"/>
      <c r="F29" s="207"/>
      <c r="G29" s="207"/>
      <c r="H29" s="263">
        <f>Day_0_Plan!B30</f>
        <v>0</v>
      </c>
      <c r="I29" s="264"/>
      <c r="J29" s="265"/>
    </row>
    <row r="30" spans="1:10" ht="24" customHeight="1" x14ac:dyDescent="0.25">
      <c r="A30" s="267" t="s">
        <v>423</v>
      </c>
      <c r="B30" s="207"/>
      <c r="C30" s="207"/>
      <c r="D30" s="207"/>
      <c r="E30" s="207"/>
      <c r="F30" s="207"/>
      <c r="G30" s="207"/>
      <c r="H30" s="273">
        <f>Day_0_Plan!B31</f>
        <v>0</v>
      </c>
      <c r="I30" s="274"/>
      <c r="J30" s="275"/>
    </row>
    <row r="32" spans="1:10" ht="18" customHeight="1" x14ac:dyDescent="0.25">
      <c r="A32" s="256" t="s">
        <v>424</v>
      </c>
      <c r="B32" s="207"/>
      <c r="C32" s="207"/>
      <c r="D32" s="207"/>
      <c r="E32" s="207"/>
      <c r="F32" s="207"/>
      <c r="G32" s="207"/>
      <c r="H32" s="207"/>
      <c r="I32" s="207"/>
      <c r="J32" s="207"/>
    </row>
  </sheetData>
  <mergeCells count="33">
    <mergeCell ref="A1:J1"/>
    <mergeCell ref="A5:B5"/>
    <mergeCell ref="G5:H5"/>
    <mergeCell ref="H30:J30"/>
    <mergeCell ref="I5:J5"/>
    <mergeCell ref="A16:J16"/>
    <mergeCell ref="H26:J26"/>
    <mergeCell ref="A25:J25"/>
    <mergeCell ref="H29:J29"/>
    <mergeCell ref="A4:B4"/>
    <mergeCell ref="G4:H4"/>
    <mergeCell ref="I4:J4"/>
    <mergeCell ref="A27:G27"/>
    <mergeCell ref="A26:G26"/>
    <mergeCell ref="A14"/>
    <mergeCell ref="E3:F3"/>
    <mergeCell ref="C4:D4"/>
    <mergeCell ref="E4:F4"/>
    <mergeCell ref="F7:J7"/>
    <mergeCell ref="C3:D3"/>
    <mergeCell ref="H28:J28"/>
    <mergeCell ref="A7:E7"/>
    <mergeCell ref="H27:J27"/>
    <mergeCell ref="A3:B3"/>
    <mergeCell ref="G3:H3"/>
    <mergeCell ref="I3:J3"/>
    <mergeCell ref="A22"/>
    <mergeCell ref="A32:J32"/>
    <mergeCell ref="C5:D5"/>
    <mergeCell ref="E5:F5"/>
    <mergeCell ref="A29:G29"/>
    <mergeCell ref="A28:G28"/>
    <mergeCell ref="A30:G30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🏥 COVER</vt:lpstr>
      <vt:lpstr>Dashboard</vt:lpstr>
      <vt:lpstr>Day_0_Plan</vt:lpstr>
      <vt:lpstr>Live_OR_Board</vt:lpstr>
      <vt:lpstr>HR_Master</vt:lpstr>
      <vt:lpstr>Staff_Demand</vt:lpstr>
      <vt:lpstr>Financial_Summary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Sohan Gowda R</dc:creator>
  <cp:lastModifiedBy>sayan maj</cp:lastModifiedBy>
  <dcterms:created xsi:type="dcterms:W3CDTF">2026-02-26T08:22:18Z</dcterms:created>
  <dcterms:modified xsi:type="dcterms:W3CDTF">2026-03-06T07:40:02Z</dcterms:modified>
</cp:coreProperties>
</file>